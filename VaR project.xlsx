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nt\Python for FInance\VaR project\"/>
    </mc:Choice>
  </mc:AlternateContent>
  <xr:revisionPtr revIDLastSave="0" documentId="8_{8708CE68-985B-43C0-9E6B-96A1182A8AA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ortfolio" sheetId="3" r:id="rId1"/>
    <sheet name="Historical Prices" sheetId="1" r:id="rId2"/>
    <sheet name="Returns" sheetId="2" r:id="rId3"/>
    <sheet name="Backtesting Summary" sheetId="4" r:id="rId4"/>
    <sheet name="Final Summary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4" i="5"/>
  <c r="I15" i="5"/>
  <c r="I12" i="5"/>
  <c r="F15" i="5"/>
  <c r="G15" i="5" s="1"/>
  <c r="H15" i="5" s="1"/>
  <c r="F14" i="5"/>
  <c r="G14" i="5" s="1"/>
  <c r="H14" i="5" s="1"/>
  <c r="F13" i="5"/>
  <c r="G13" i="5" s="1"/>
  <c r="H13" i="5" s="1"/>
  <c r="F12" i="5"/>
  <c r="G12" i="5" s="1"/>
  <c r="H12" i="5" s="1"/>
  <c r="I3" i="4"/>
  <c r="I4" i="4"/>
  <c r="I5" i="4"/>
  <c r="I2" i="4"/>
  <c r="G3" i="4"/>
  <c r="H3" i="4" s="1"/>
  <c r="G4" i="4"/>
  <c r="H4" i="4"/>
  <c r="G5" i="4"/>
  <c r="H5" i="4"/>
  <c r="H2" i="4"/>
  <c r="G2" i="4"/>
  <c r="F3" i="4"/>
  <c r="F4" i="4"/>
  <c r="F5" i="4"/>
  <c r="F2" i="4"/>
  <c r="P745" i="2"/>
  <c r="N745" i="2"/>
  <c r="M256" i="2"/>
  <c r="N256" i="2" s="1"/>
  <c r="O256" i="2"/>
  <c r="P256" i="2" s="1"/>
  <c r="M257" i="2"/>
  <c r="N257" i="2"/>
  <c r="O257" i="2"/>
  <c r="P257" i="2"/>
  <c r="M258" i="2"/>
  <c r="N258" i="2"/>
  <c r="O258" i="2"/>
  <c r="P258" i="2"/>
  <c r="M259" i="2"/>
  <c r="N259" i="2" s="1"/>
  <c r="O259" i="2"/>
  <c r="P259" i="2" s="1"/>
  <c r="M260" i="2"/>
  <c r="N260" i="2" s="1"/>
  <c r="O260" i="2"/>
  <c r="P260" i="2" s="1"/>
  <c r="M261" i="2"/>
  <c r="N261" i="2"/>
  <c r="O261" i="2"/>
  <c r="P261" i="2"/>
  <c r="M262" i="2"/>
  <c r="N262" i="2" s="1"/>
  <c r="O262" i="2"/>
  <c r="P262" i="2" s="1"/>
  <c r="M263" i="2"/>
  <c r="N263" i="2"/>
  <c r="O263" i="2"/>
  <c r="P263" i="2" s="1"/>
  <c r="M264" i="2"/>
  <c r="N264" i="2" s="1"/>
  <c r="O264" i="2"/>
  <c r="P264" i="2"/>
  <c r="M265" i="2"/>
  <c r="N265" i="2" s="1"/>
  <c r="O265" i="2"/>
  <c r="P265" i="2" s="1"/>
  <c r="M266" i="2"/>
  <c r="N266" i="2"/>
  <c r="O266" i="2"/>
  <c r="P266" i="2"/>
  <c r="M267" i="2"/>
  <c r="N267" i="2" s="1"/>
  <c r="O267" i="2"/>
  <c r="P267" i="2" s="1"/>
  <c r="M268" i="2"/>
  <c r="N268" i="2" s="1"/>
  <c r="O268" i="2"/>
  <c r="P268" i="2" s="1"/>
  <c r="M269" i="2"/>
  <c r="N269" i="2" s="1"/>
  <c r="O269" i="2"/>
  <c r="P269" i="2" s="1"/>
  <c r="M270" i="2"/>
  <c r="N270" i="2"/>
  <c r="O270" i="2"/>
  <c r="P270" i="2" s="1"/>
  <c r="M271" i="2"/>
  <c r="N271" i="2" s="1"/>
  <c r="O271" i="2"/>
  <c r="P271" i="2" s="1"/>
  <c r="M272" i="2"/>
  <c r="N272" i="2"/>
  <c r="O272" i="2"/>
  <c r="P272" i="2" s="1"/>
  <c r="M273" i="2"/>
  <c r="N273" i="2"/>
  <c r="O273" i="2"/>
  <c r="P273" i="2"/>
  <c r="M274" i="2"/>
  <c r="N274" i="2" s="1"/>
  <c r="O274" i="2"/>
  <c r="P274" i="2" s="1"/>
  <c r="M275" i="2"/>
  <c r="N275" i="2" s="1"/>
  <c r="O275" i="2"/>
  <c r="P275" i="2"/>
  <c r="M276" i="2"/>
  <c r="N276" i="2"/>
  <c r="O276" i="2"/>
  <c r="P276" i="2" s="1"/>
  <c r="M277" i="2"/>
  <c r="N277" i="2" s="1"/>
  <c r="O277" i="2"/>
  <c r="P277" i="2" s="1"/>
  <c r="M278" i="2"/>
  <c r="N278" i="2" s="1"/>
  <c r="O278" i="2"/>
  <c r="P278" i="2" s="1"/>
  <c r="M279" i="2"/>
  <c r="N279" i="2"/>
  <c r="O279" i="2"/>
  <c r="P279" i="2"/>
  <c r="M280" i="2"/>
  <c r="N280" i="2" s="1"/>
  <c r="O280" i="2"/>
  <c r="P280" i="2" s="1"/>
  <c r="M281" i="2"/>
  <c r="N281" i="2" s="1"/>
  <c r="O281" i="2"/>
  <c r="P281" i="2" s="1"/>
  <c r="M282" i="2"/>
  <c r="N282" i="2" s="1"/>
  <c r="O282" i="2"/>
  <c r="P282" i="2"/>
  <c r="M283" i="2"/>
  <c r="N283" i="2" s="1"/>
  <c r="O283" i="2"/>
  <c r="P283" i="2" s="1"/>
  <c r="M284" i="2"/>
  <c r="N284" i="2"/>
  <c r="O284" i="2"/>
  <c r="P284" i="2"/>
  <c r="M285" i="2"/>
  <c r="N285" i="2" s="1"/>
  <c r="O285" i="2"/>
  <c r="P285" i="2" s="1"/>
  <c r="M286" i="2"/>
  <c r="N286" i="2" s="1"/>
  <c r="O286" i="2"/>
  <c r="P286" i="2" s="1"/>
  <c r="M287" i="2"/>
  <c r="N287" i="2"/>
  <c r="O287" i="2"/>
  <c r="P287" i="2"/>
  <c r="M288" i="2"/>
  <c r="N288" i="2"/>
  <c r="O288" i="2"/>
  <c r="P288" i="2" s="1"/>
  <c r="M289" i="2"/>
  <c r="N289" i="2" s="1"/>
  <c r="O289" i="2"/>
  <c r="P289" i="2" s="1"/>
  <c r="M290" i="2"/>
  <c r="N290" i="2"/>
  <c r="O290" i="2"/>
  <c r="P290" i="2"/>
  <c r="M291" i="2"/>
  <c r="N291" i="2"/>
  <c r="O291" i="2"/>
  <c r="P291" i="2"/>
  <c r="M292" i="2"/>
  <c r="N292" i="2" s="1"/>
  <c r="O292" i="2"/>
  <c r="P292" i="2" s="1"/>
  <c r="M293" i="2"/>
  <c r="N293" i="2" s="1"/>
  <c r="O293" i="2"/>
  <c r="P293" i="2"/>
  <c r="M294" i="2"/>
  <c r="N294" i="2" s="1"/>
  <c r="O294" i="2"/>
  <c r="P294" i="2"/>
  <c r="M295" i="2"/>
  <c r="N295" i="2" s="1"/>
  <c r="O295" i="2"/>
  <c r="P295" i="2" s="1"/>
  <c r="M296" i="2"/>
  <c r="N296" i="2" s="1"/>
  <c r="O296" i="2"/>
  <c r="P296" i="2" s="1"/>
  <c r="M297" i="2"/>
  <c r="N297" i="2"/>
  <c r="O297" i="2"/>
  <c r="P297" i="2" s="1"/>
  <c r="M298" i="2"/>
  <c r="N298" i="2" s="1"/>
  <c r="O298" i="2"/>
  <c r="P298" i="2" s="1"/>
  <c r="M299" i="2"/>
  <c r="N299" i="2"/>
  <c r="O299" i="2"/>
  <c r="P299" i="2" s="1"/>
  <c r="M300" i="2"/>
  <c r="N300" i="2" s="1"/>
  <c r="O300" i="2"/>
  <c r="P300" i="2"/>
  <c r="M301" i="2"/>
  <c r="N301" i="2" s="1"/>
  <c r="O301" i="2"/>
  <c r="P301" i="2" s="1"/>
  <c r="M302" i="2"/>
  <c r="N302" i="2" s="1"/>
  <c r="O302" i="2"/>
  <c r="P302" i="2" s="1"/>
  <c r="M303" i="2"/>
  <c r="N303" i="2" s="1"/>
  <c r="O303" i="2"/>
  <c r="P303" i="2" s="1"/>
  <c r="M304" i="2"/>
  <c r="N304" i="2" s="1"/>
  <c r="O304" i="2"/>
  <c r="P304" i="2" s="1"/>
  <c r="M305" i="2"/>
  <c r="N305" i="2"/>
  <c r="O305" i="2"/>
  <c r="P305" i="2"/>
  <c r="M306" i="2"/>
  <c r="N306" i="2" s="1"/>
  <c r="O306" i="2"/>
  <c r="P306" i="2" s="1"/>
  <c r="M307" i="2"/>
  <c r="N307" i="2" s="1"/>
  <c r="O307" i="2"/>
  <c r="P307" i="2" s="1"/>
  <c r="M308" i="2"/>
  <c r="N308" i="2"/>
  <c r="O308" i="2"/>
  <c r="P308" i="2"/>
  <c r="M309" i="2"/>
  <c r="N309" i="2"/>
  <c r="O309" i="2"/>
  <c r="P309" i="2" s="1"/>
  <c r="M310" i="2"/>
  <c r="N310" i="2" s="1"/>
  <c r="O310" i="2"/>
  <c r="P310" i="2" s="1"/>
  <c r="M311" i="2"/>
  <c r="N311" i="2" s="1"/>
  <c r="O311" i="2"/>
  <c r="P311" i="2"/>
  <c r="M312" i="2"/>
  <c r="N312" i="2"/>
  <c r="O312" i="2"/>
  <c r="P312" i="2"/>
  <c r="M313" i="2"/>
  <c r="N313" i="2" s="1"/>
  <c r="O313" i="2"/>
  <c r="P313" i="2" s="1"/>
  <c r="M314" i="2"/>
  <c r="N314" i="2" s="1"/>
  <c r="O314" i="2"/>
  <c r="P314" i="2" s="1"/>
  <c r="M315" i="2"/>
  <c r="N315" i="2" s="1"/>
  <c r="O315" i="2"/>
  <c r="P315" i="2"/>
  <c r="M316" i="2"/>
  <c r="N316" i="2" s="1"/>
  <c r="O316" i="2"/>
  <c r="P316" i="2" s="1"/>
  <c r="M317" i="2"/>
  <c r="N317" i="2"/>
  <c r="O317" i="2"/>
  <c r="P317" i="2" s="1"/>
  <c r="M318" i="2"/>
  <c r="N318" i="2" s="1"/>
  <c r="O318" i="2"/>
  <c r="P318" i="2" s="1"/>
  <c r="M319" i="2"/>
  <c r="N319" i="2" s="1"/>
  <c r="O319" i="2"/>
  <c r="P319" i="2" s="1"/>
  <c r="M320" i="2"/>
  <c r="N320" i="2"/>
  <c r="O320" i="2"/>
  <c r="P320" i="2"/>
  <c r="M321" i="2"/>
  <c r="N321" i="2" s="1"/>
  <c r="O321" i="2"/>
  <c r="P321" i="2" s="1"/>
  <c r="M322" i="2"/>
  <c r="N322" i="2" s="1"/>
  <c r="O322" i="2"/>
  <c r="P322" i="2" s="1"/>
  <c r="M323" i="2"/>
  <c r="N323" i="2" s="1"/>
  <c r="O323" i="2"/>
  <c r="P323" i="2" s="1"/>
  <c r="M324" i="2"/>
  <c r="N324" i="2"/>
  <c r="O324" i="2"/>
  <c r="P324" i="2" s="1"/>
  <c r="M325" i="2"/>
  <c r="N325" i="2" s="1"/>
  <c r="O325" i="2"/>
  <c r="P325" i="2" s="1"/>
  <c r="M326" i="2"/>
  <c r="N326" i="2"/>
  <c r="O326" i="2"/>
  <c r="P326" i="2" s="1"/>
  <c r="M327" i="2"/>
  <c r="N327" i="2"/>
  <c r="O327" i="2"/>
  <c r="P327" i="2"/>
  <c r="M328" i="2"/>
  <c r="N328" i="2" s="1"/>
  <c r="O328" i="2"/>
  <c r="P328" i="2" s="1"/>
  <c r="M329" i="2"/>
  <c r="N329" i="2" s="1"/>
  <c r="O329" i="2"/>
  <c r="P329" i="2"/>
  <c r="M330" i="2"/>
  <c r="N330" i="2"/>
  <c r="O330" i="2"/>
  <c r="P330" i="2" s="1"/>
  <c r="M331" i="2"/>
  <c r="N331" i="2" s="1"/>
  <c r="O331" i="2"/>
  <c r="P331" i="2" s="1"/>
  <c r="M332" i="2"/>
  <c r="N332" i="2" s="1"/>
  <c r="O332" i="2"/>
  <c r="P332" i="2" s="1"/>
  <c r="M333" i="2"/>
  <c r="N333" i="2"/>
  <c r="O333" i="2"/>
  <c r="P333" i="2"/>
  <c r="M334" i="2"/>
  <c r="N334" i="2" s="1"/>
  <c r="O334" i="2"/>
  <c r="P334" i="2" s="1"/>
  <c r="M335" i="2"/>
  <c r="N335" i="2" s="1"/>
  <c r="O335" i="2"/>
  <c r="P335" i="2" s="1"/>
  <c r="M336" i="2"/>
  <c r="N336" i="2" s="1"/>
  <c r="O336" i="2"/>
  <c r="P336" i="2"/>
  <c r="M337" i="2"/>
  <c r="N337" i="2" s="1"/>
  <c r="O337" i="2"/>
  <c r="P337" i="2" s="1"/>
  <c r="M338" i="2"/>
  <c r="N338" i="2"/>
  <c r="O338" i="2"/>
  <c r="P338" i="2"/>
  <c r="M339" i="2"/>
  <c r="N339" i="2" s="1"/>
  <c r="O339" i="2"/>
  <c r="P339" i="2" s="1"/>
  <c r="M340" i="2"/>
  <c r="N340" i="2" s="1"/>
  <c r="O340" i="2"/>
  <c r="P340" i="2" s="1"/>
  <c r="M341" i="2"/>
  <c r="N341" i="2"/>
  <c r="O341" i="2"/>
  <c r="P341" i="2"/>
  <c r="M342" i="2"/>
  <c r="N342" i="2"/>
  <c r="O342" i="2"/>
  <c r="P342" i="2" s="1"/>
  <c r="M343" i="2"/>
  <c r="N343" i="2" s="1"/>
  <c r="O343" i="2"/>
  <c r="P343" i="2" s="1"/>
  <c r="M344" i="2"/>
  <c r="N344" i="2"/>
  <c r="O344" i="2"/>
  <c r="P344" i="2"/>
  <c r="M345" i="2"/>
  <c r="N345" i="2"/>
  <c r="O345" i="2"/>
  <c r="P345" i="2"/>
  <c r="M346" i="2"/>
  <c r="N346" i="2" s="1"/>
  <c r="O346" i="2"/>
  <c r="P346" i="2" s="1"/>
  <c r="M347" i="2"/>
  <c r="N347" i="2" s="1"/>
  <c r="O347" i="2"/>
  <c r="P347" i="2" s="1"/>
  <c r="M348" i="2"/>
  <c r="N348" i="2" s="1"/>
  <c r="O348" i="2"/>
  <c r="P348" i="2"/>
  <c r="M349" i="2"/>
  <c r="N349" i="2" s="1"/>
  <c r="O349" i="2"/>
  <c r="P349" i="2" s="1"/>
  <c r="M350" i="2"/>
  <c r="N350" i="2" s="1"/>
  <c r="O350" i="2"/>
  <c r="P350" i="2" s="1"/>
  <c r="M351" i="2"/>
  <c r="N351" i="2"/>
  <c r="O351" i="2"/>
  <c r="P351" i="2" s="1"/>
  <c r="M352" i="2"/>
  <c r="N352" i="2" s="1"/>
  <c r="O352" i="2"/>
  <c r="P352" i="2" s="1"/>
  <c r="M353" i="2"/>
  <c r="N353" i="2"/>
  <c r="O353" i="2"/>
  <c r="P353" i="2" s="1"/>
  <c r="M354" i="2"/>
  <c r="N354" i="2" s="1"/>
  <c r="O354" i="2"/>
  <c r="P354" i="2"/>
  <c r="M355" i="2"/>
  <c r="N355" i="2" s="1"/>
  <c r="O355" i="2"/>
  <c r="P355" i="2" s="1"/>
  <c r="M356" i="2"/>
  <c r="N356" i="2" s="1"/>
  <c r="O356" i="2"/>
  <c r="P356" i="2" s="1"/>
  <c r="M357" i="2"/>
  <c r="N357" i="2" s="1"/>
  <c r="O357" i="2"/>
  <c r="P357" i="2" s="1"/>
  <c r="M358" i="2"/>
  <c r="N358" i="2" s="1"/>
  <c r="O358" i="2"/>
  <c r="P358" i="2" s="1"/>
  <c r="M359" i="2"/>
  <c r="N359" i="2"/>
  <c r="O359" i="2"/>
  <c r="P359" i="2"/>
  <c r="M360" i="2"/>
  <c r="N360" i="2" s="1"/>
  <c r="O360" i="2"/>
  <c r="P360" i="2" s="1"/>
  <c r="M361" i="2"/>
  <c r="N361" i="2" s="1"/>
  <c r="O361" i="2"/>
  <c r="P361" i="2" s="1"/>
  <c r="M362" i="2"/>
  <c r="N362" i="2"/>
  <c r="O362" i="2"/>
  <c r="P362" i="2"/>
  <c r="M363" i="2"/>
  <c r="N363" i="2"/>
  <c r="O363" i="2"/>
  <c r="P363" i="2" s="1"/>
  <c r="M364" i="2"/>
  <c r="N364" i="2" s="1"/>
  <c r="O364" i="2"/>
  <c r="P364" i="2" s="1"/>
  <c r="M365" i="2"/>
  <c r="N365" i="2" s="1"/>
  <c r="O365" i="2"/>
  <c r="P365" i="2"/>
  <c r="M366" i="2"/>
  <c r="N366" i="2"/>
  <c r="O366" i="2"/>
  <c r="P366" i="2"/>
  <c r="M367" i="2"/>
  <c r="N367" i="2" s="1"/>
  <c r="O367" i="2"/>
  <c r="P367" i="2" s="1"/>
  <c r="M368" i="2"/>
  <c r="N368" i="2" s="1"/>
  <c r="O368" i="2"/>
  <c r="P368" i="2" s="1"/>
  <c r="M369" i="2"/>
  <c r="N369" i="2" s="1"/>
  <c r="O369" i="2"/>
  <c r="P369" i="2"/>
  <c r="M370" i="2"/>
  <c r="N370" i="2" s="1"/>
  <c r="O370" i="2"/>
  <c r="P370" i="2" s="1"/>
  <c r="M371" i="2"/>
  <c r="N371" i="2"/>
  <c r="O371" i="2"/>
  <c r="P371" i="2" s="1"/>
  <c r="M372" i="2"/>
  <c r="N372" i="2" s="1"/>
  <c r="O372" i="2"/>
  <c r="P372" i="2" s="1"/>
  <c r="M373" i="2"/>
  <c r="N373" i="2" s="1"/>
  <c r="O373" i="2"/>
  <c r="P373" i="2" s="1"/>
  <c r="M374" i="2"/>
  <c r="N374" i="2"/>
  <c r="O374" i="2"/>
  <c r="P374" i="2"/>
  <c r="M375" i="2"/>
  <c r="N375" i="2" s="1"/>
  <c r="O375" i="2"/>
  <c r="P375" i="2" s="1"/>
  <c r="M376" i="2"/>
  <c r="N376" i="2" s="1"/>
  <c r="O376" i="2"/>
  <c r="P376" i="2" s="1"/>
  <c r="M377" i="2"/>
  <c r="N377" i="2" s="1"/>
  <c r="O377" i="2"/>
  <c r="P377" i="2" s="1"/>
  <c r="M378" i="2"/>
  <c r="N378" i="2"/>
  <c r="O378" i="2"/>
  <c r="P378" i="2" s="1"/>
  <c r="M379" i="2"/>
  <c r="N379" i="2" s="1"/>
  <c r="O379" i="2"/>
  <c r="P379" i="2" s="1"/>
  <c r="M380" i="2"/>
  <c r="N380" i="2"/>
  <c r="O380" i="2"/>
  <c r="P380" i="2" s="1"/>
  <c r="M381" i="2"/>
  <c r="N381" i="2"/>
  <c r="O381" i="2"/>
  <c r="P381" i="2"/>
  <c r="M382" i="2"/>
  <c r="N382" i="2" s="1"/>
  <c r="O382" i="2"/>
  <c r="P382" i="2" s="1"/>
  <c r="M383" i="2"/>
  <c r="N383" i="2" s="1"/>
  <c r="O383" i="2"/>
  <c r="P383" i="2"/>
  <c r="M384" i="2"/>
  <c r="N384" i="2"/>
  <c r="O384" i="2"/>
  <c r="P384" i="2" s="1"/>
  <c r="M385" i="2"/>
  <c r="N385" i="2" s="1"/>
  <c r="O385" i="2"/>
  <c r="P385" i="2" s="1"/>
  <c r="M386" i="2"/>
  <c r="N386" i="2" s="1"/>
  <c r="O386" i="2"/>
  <c r="P386" i="2" s="1"/>
  <c r="M387" i="2"/>
  <c r="N387" i="2"/>
  <c r="O387" i="2"/>
  <c r="P387" i="2"/>
  <c r="M388" i="2"/>
  <c r="N388" i="2" s="1"/>
  <c r="O388" i="2"/>
  <c r="P388" i="2" s="1"/>
  <c r="M389" i="2"/>
  <c r="N389" i="2" s="1"/>
  <c r="O389" i="2"/>
  <c r="P389" i="2" s="1"/>
  <c r="M390" i="2"/>
  <c r="N390" i="2" s="1"/>
  <c r="O390" i="2"/>
  <c r="P390" i="2"/>
  <c r="M391" i="2"/>
  <c r="N391" i="2" s="1"/>
  <c r="O391" i="2"/>
  <c r="P391" i="2" s="1"/>
  <c r="M392" i="2"/>
  <c r="N392" i="2"/>
  <c r="O392" i="2"/>
  <c r="P392" i="2"/>
  <c r="M393" i="2"/>
  <c r="N393" i="2" s="1"/>
  <c r="O393" i="2"/>
  <c r="P393" i="2" s="1"/>
  <c r="M394" i="2"/>
  <c r="N394" i="2" s="1"/>
  <c r="O394" i="2"/>
  <c r="P394" i="2" s="1"/>
  <c r="M395" i="2"/>
  <c r="N395" i="2"/>
  <c r="O395" i="2"/>
  <c r="P395" i="2"/>
  <c r="M396" i="2"/>
  <c r="N396" i="2"/>
  <c r="O396" i="2"/>
  <c r="P396" i="2" s="1"/>
  <c r="M397" i="2"/>
  <c r="N397" i="2" s="1"/>
  <c r="O397" i="2"/>
  <c r="P397" i="2" s="1"/>
  <c r="M398" i="2"/>
  <c r="N398" i="2"/>
  <c r="O398" i="2"/>
  <c r="P398" i="2"/>
  <c r="M399" i="2"/>
  <c r="N399" i="2"/>
  <c r="O399" i="2"/>
  <c r="P399" i="2"/>
  <c r="M400" i="2"/>
  <c r="N400" i="2" s="1"/>
  <c r="O400" i="2"/>
  <c r="P400" i="2" s="1"/>
  <c r="M401" i="2"/>
  <c r="N401" i="2" s="1"/>
  <c r="O401" i="2"/>
  <c r="P401" i="2" s="1"/>
  <c r="M402" i="2"/>
  <c r="N402" i="2" s="1"/>
  <c r="O402" i="2"/>
  <c r="P402" i="2"/>
  <c r="M403" i="2"/>
  <c r="N403" i="2" s="1"/>
  <c r="O403" i="2"/>
  <c r="P403" i="2" s="1"/>
  <c r="M404" i="2"/>
  <c r="N404" i="2" s="1"/>
  <c r="O404" i="2"/>
  <c r="P404" i="2" s="1"/>
  <c r="M405" i="2"/>
  <c r="N405" i="2"/>
  <c r="O405" i="2"/>
  <c r="P405" i="2" s="1"/>
  <c r="M406" i="2"/>
  <c r="N406" i="2" s="1"/>
  <c r="O406" i="2"/>
  <c r="P406" i="2" s="1"/>
  <c r="M407" i="2"/>
  <c r="N407" i="2"/>
  <c r="O407" i="2"/>
  <c r="P407" i="2" s="1"/>
  <c r="M408" i="2"/>
  <c r="N408" i="2" s="1"/>
  <c r="O408" i="2"/>
  <c r="P408" i="2"/>
  <c r="M409" i="2"/>
  <c r="N409" i="2" s="1"/>
  <c r="O409" i="2"/>
  <c r="P409" i="2" s="1"/>
  <c r="M410" i="2"/>
  <c r="N410" i="2" s="1"/>
  <c r="O410" i="2"/>
  <c r="P410" i="2" s="1"/>
  <c r="M411" i="2"/>
  <c r="N411" i="2" s="1"/>
  <c r="O411" i="2"/>
  <c r="P411" i="2" s="1"/>
  <c r="M412" i="2"/>
  <c r="N412" i="2" s="1"/>
  <c r="O412" i="2"/>
  <c r="P412" i="2" s="1"/>
  <c r="M413" i="2"/>
  <c r="N413" i="2"/>
  <c r="O413" i="2"/>
  <c r="P413" i="2"/>
  <c r="M414" i="2"/>
  <c r="N414" i="2" s="1"/>
  <c r="O414" i="2"/>
  <c r="P414" i="2" s="1"/>
  <c r="M415" i="2"/>
  <c r="N415" i="2" s="1"/>
  <c r="O415" i="2"/>
  <c r="P415" i="2" s="1"/>
  <c r="M416" i="2"/>
  <c r="N416" i="2"/>
  <c r="O416" i="2"/>
  <c r="P416" i="2"/>
  <c r="M417" i="2"/>
  <c r="N417" i="2"/>
  <c r="O417" i="2"/>
  <c r="P417" i="2" s="1"/>
  <c r="M418" i="2"/>
  <c r="N418" i="2" s="1"/>
  <c r="O418" i="2"/>
  <c r="P418" i="2" s="1"/>
  <c r="M419" i="2"/>
  <c r="N419" i="2" s="1"/>
  <c r="O419" i="2"/>
  <c r="P419" i="2"/>
  <c r="M420" i="2"/>
  <c r="N420" i="2"/>
  <c r="O420" i="2"/>
  <c r="P420" i="2"/>
  <c r="M421" i="2"/>
  <c r="N421" i="2" s="1"/>
  <c r="O421" i="2"/>
  <c r="P421" i="2" s="1"/>
  <c r="M422" i="2"/>
  <c r="N422" i="2"/>
  <c r="O422" i="2"/>
  <c r="P422" i="2"/>
  <c r="M423" i="2"/>
  <c r="N423" i="2"/>
  <c r="O423" i="2"/>
  <c r="P423" i="2"/>
  <c r="M424" i="2"/>
  <c r="N424" i="2" s="1"/>
  <c r="O424" i="2"/>
  <c r="P424" i="2"/>
  <c r="M425" i="2"/>
  <c r="N425" i="2" s="1"/>
  <c r="O425" i="2"/>
  <c r="P425" i="2" s="1"/>
  <c r="M426" i="2"/>
  <c r="N426" i="2" s="1"/>
  <c r="O426" i="2"/>
  <c r="P426" i="2"/>
  <c r="M427" i="2"/>
  <c r="N427" i="2" s="1"/>
  <c r="O427" i="2"/>
  <c r="P427" i="2"/>
  <c r="M428" i="2"/>
  <c r="N428" i="2"/>
  <c r="O428" i="2"/>
  <c r="P428" i="2"/>
  <c r="M429" i="2"/>
  <c r="N429" i="2"/>
  <c r="O429" i="2"/>
  <c r="P429" i="2"/>
  <c r="M430" i="2"/>
  <c r="N430" i="2" s="1"/>
  <c r="O430" i="2"/>
  <c r="P430" i="2"/>
  <c r="M431" i="2"/>
  <c r="N431" i="2"/>
  <c r="O431" i="2"/>
  <c r="P431" i="2" s="1"/>
  <c r="M432" i="2"/>
  <c r="N432" i="2" s="1"/>
  <c r="O432" i="2"/>
  <c r="P432" i="2" s="1"/>
  <c r="M433" i="2"/>
  <c r="N433" i="2" s="1"/>
  <c r="O433" i="2"/>
  <c r="P433" i="2"/>
  <c r="M434" i="2"/>
  <c r="N434" i="2"/>
  <c r="O434" i="2"/>
  <c r="P434" i="2"/>
  <c r="M435" i="2"/>
  <c r="N435" i="2"/>
  <c r="O435" i="2"/>
  <c r="P435" i="2"/>
  <c r="M436" i="2"/>
  <c r="N436" i="2" s="1"/>
  <c r="O436" i="2"/>
  <c r="P436" i="2" s="1"/>
  <c r="M437" i="2"/>
  <c r="N437" i="2"/>
  <c r="O437" i="2"/>
  <c r="P437" i="2"/>
  <c r="M438" i="2"/>
  <c r="N438" i="2" s="1"/>
  <c r="O438" i="2"/>
  <c r="P438" i="2" s="1"/>
  <c r="M439" i="2"/>
  <c r="N439" i="2" s="1"/>
  <c r="O439" i="2"/>
  <c r="P439" i="2" s="1"/>
  <c r="M440" i="2"/>
  <c r="N440" i="2"/>
  <c r="O440" i="2"/>
  <c r="P440" i="2"/>
  <c r="M441" i="2"/>
  <c r="N441" i="2"/>
  <c r="O441" i="2"/>
  <c r="P441" i="2"/>
  <c r="M442" i="2"/>
  <c r="N442" i="2" s="1"/>
  <c r="O442" i="2"/>
  <c r="P442" i="2"/>
  <c r="M443" i="2"/>
  <c r="N443" i="2" s="1"/>
  <c r="O443" i="2"/>
  <c r="P443" i="2" s="1"/>
  <c r="M444" i="2"/>
  <c r="N444" i="2"/>
  <c r="O444" i="2"/>
  <c r="P444" i="2" s="1"/>
  <c r="M445" i="2"/>
  <c r="N445" i="2" s="1"/>
  <c r="O445" i="2"/>
  <c r="P445" i="2"/>
  <c r="M446" i="2"/>
  <c r="N446" i="2"/>
  <c r="O446" i="2"/>
  <c r="P446" i="2" s="1"/>
  <c r="M447" i="2"/>
  <c r="N447" i="2" s="1"/>
  <c r="O447" i="2"/>
  <c r="P447" i="2"/>
  <c r="M448" i="2"/>
  <c r="N448" i="2" s="1"/>
  <c r="O448" i="2"/>
  <c r="P448" i="2" s="1"/>
  <c r="M449" i="2"/>
  <c r="N449" i="2"/>
  <c r="O449" i="2"/>
  <c r="P449" i="2"/>
  <c r="M450" i="2"/>
  <c r="N450" i="2" s="1"/>
  <c r="O450" i="2"/>
  <c r="P450" i="2" s="1"/>
  <c r="M451" i="2"/>
  <c r="N451" i="2" s="1"/>
  <c r="O451" i="2"/>
  <c r="P451" i="2"/>
  <c r="M452" i="2"/>
  <c r="N452" i="2"/>
  <c r="O452" i="2"/>
  <c r="P452" i="2"/>
  <c r="M453" i="2"/>
  <c r="N453" i="2" s="1"/>
  <c r="O453" i="2"/>
  <c r="P453" i="2"/>
  <c r="M454" i="2"/>
  <c r="N454" i="2" s="1"/>
  <c r="O454" i="2"/>
  <c r="P454" i="2" s="1"/>
  <c r="M455" i="2"/>
  <c r="N455" i="2" s="1"/>
  <c r="O455" i="2"/>
  <c r="P455" i="2"/>
  <c r="M456" i="2"/>
  <c r="N456" i="2"/>
  <c r="O456" i="2"/>
  <c r="P456" i="2"/>
  <c r="M457" i="2"/>
  <c r="N457" i="2" s="1"/>
  <c r="O457" i="2"/>
  <c r="P457" i="2"/>
  <c r="M458" i="2"/>
  <c r="N458" i="2"/>
  <c r="O458" i="2"/>
  <c r="P458" i="2"/>
  <c r="M459" i="2"/>
  <c r="N459" i="2"/>
  <c r="O459" i="2"/>
  <c r="P459" i="2"/>
  <c r="M460" i="2"/>
  <c r="N460" i="2" s="1"/>
  <c r="O460" i="2"/>
  <c r="P460" i="2" s="1"/>
  <c r="M461" i="2"/>
  <c r="N461" i="2" s="1"/>
  <c r="O461" i="2"/>
  <c r="P461" i="2" s="1"/>
  <c r="M462" i="2"/>
  <c r="N462" i="2"/>
  <c r="O462" i="2"/>
  <c r="P462" i="2"/>
  <c r="M463" i="2"/>
  <c r="N463" i="2" s="1"/>
  <c r="O463" i="2"/>
  <c r="P463" i="2"/>
  <c r="M464" i="2"/>
  <c r="N464" i="2" s="1"/>
  <c r="O464" i="2"/>
  <c r="P464" i="2"/>
  <c r="M465" i="2"/>
  <c r="N465" i="2"/>
  <c r="O465" i="2"/>
  <c r="P465" i="2"/>
  <c r="M466" i="2"/>
  <c r="N466" i="2" s="1"/>
  <c r="O466" i="2"/>
  <c r="P466" i="2"/>
  <c r="M467" i="2"/>
  <c r="N467" i="2"/>
  <c r="O467" i="2"/>
  <c r="P467" i="2" s="1"/>
  <c r="M468" i="2"/>
  <c r="N468" i="2" s="1"/>
  <c r="O468" i="2"/>
  <c r="P468" i="2" s="1"/>
  <c r="M469" i="2"/>
  <c r="N469" i="2" s="1"/>
  <c r="O469" i="2"/>
  <c r="P469" i="2"/>
  <c r="M470" i="2"/>
  <c r="N470" i="2"/>
  <c r="O470" i="2"/>
  <c r="P470" i="2"/>
  <c r="M471" i="2"/>
  <c r="N471" i="2"/>
  <c r="O471" i="2"/>
  <c r="P471" i="2"/>
  <c r="M472" i="2"/>
  <c r="N472" i="2" s="1"/>
  <c r="O472" i="2"/>
  <c r="P472" i="2"/>
  <c r="M473" i="2"/>
  <c r="N473" i="2"/>
  <c r="O473" i="2"/>
  <c r="P473" i="2"/>
  <c r="M474" i="2"/>
  <c r="N474" i="2" s="1"/>
  <c r="O474" i="2"/>
  <c r="P474" i="2" s="1"/>
  <c r="M475" i="2"/>
  <c r="N475" i="2" s="1"/>
  <c r="O475" i="2"/>
  <c r="P475" i="2"/>
  <c r="M476" i="2"/>
  <c r="N476" i="2"/>
  <c r="O476" i="2"/>
  <c r="P476" i="2"/>
  <c r="M477" i="2"/>
  <c r="N477" i="2"/>
  <c r="O477" i="2"/>
  <c r="P477" i="2"/>
  <c r="M478" i="2"/>
  <c r="N478" i="2" s="1"/>
  <c r="O478" i="2"/>
  <c r="P478" i="2" s="1"/>
  <c r="M479" i="2"/>
  <c r="N479" i="2" s="1"/>
  <c r="O479" i="2"/>
  <c r="P479" i="2"/>
  <c r="M480" i="2"/>
  <c r="N480" i="2"/>
  <c r="O480" i="2"/>
  <c r="P480" i="2" s="1"/>
  <c r="M481" i="2"/>
  <c r="N481" i="2" s="1"/>
  <c r="O481" i="2"/>
  <c r="P481" i="2"/>
  <c r="M482" i="2"/>
  <c r="N482" i="2" s="1"/>
  <c r="O482" i="2"/>
  <c r="P482" i="2" s="1"/>
  <c r="M483" i="2"/>
  <c r="N483" i="2"/>
  <c r="O483" i="2"/>
  <c r="P483" i="2"/>
  <c r="M484" i="2"/>
  <c r="N484" i="2" s="1"/>
  <c r="O484" i="2"/>
  <c r="P484" i="2" s="1"/>
  <c r="M485" i="2"/>
  <c r="N485" i="2"/>
  <c r="O485" i="2"/>
  <c r="P485" i="2" s="1"/>
  <c r="M486" i="2"/>
  <c r="N486" i="2" s="1"/>
  <c r="O486" i="2"/>
  <c r="P486" i="2"/>
  <c r="M487" i="2"/>
  <c r="N487" i="2" s="1"/>
  <c r="O487" i="2"/>
  <c r="P487" i="2"/>
  <c r="M488" i="2"/>
  <c r="N488" i="2"/>
  <c r="O488" i="2"/>
  <c r="P488" i="2" s="1"/>
  <c r="M489" i="2"/>
  <c r="N489" i="2"/>
  <c r="O489" i="2"/>
  <c r="P489" i="2"/>
  <c r="M490" i="2"/>
  <c r="N490" i="2" s="1"/>
  <c r="O490" i="2"/>
  <c r="P490" i="2" s="1"/>
  <c r="M491" i="2"/>
  <c r="N491" i="2" s="1"/>
  <c r="O491" i="2"/>
  <c r="P491" i="2"/>
  <c r="M492" i="2"/>
  <c r="N492" i="2"/>
  <c r="O492" i="2"/>
  <c r="P492" i="2" s="1"/>
  <c r="M493" i="2"/>
  <c r="N493" i="2" s="1"/>
  <c r="O493" i="2"/>
  <c r="P493" i="2"/>
  <c r="M494" i="2"/>
  <c r="N494" i="2"/>
  <c r="O494" i="2"/>
  <c r="P494" i="2"/>
  <c r="M495" i="2"/>
  <c r="N495" i="2"/>
  <c r="O495" i="2"/>
  <c r="P495" i="2" s="1"/>
  <c r="M496" i="2"/>
  <c r="N496" i="2" s="1"/>
  <c r="O496" i="2"/>
  <c r="P496" i="2" s="1"/>
  <c r="M497" i="2"/>
  <c r="N497" i="2" s="1"/>
  <c r="O497" i="2"/>
  <c r="P497" i="2" s="1"/>
  <c r="M498" i="2"/>
  <c r="N498" i="2"/>
  <c r="O498" i="2"/>
  <c r="P498" i="2"/>
  <c r="M499" i="2"/>
  <c r="N499" i="2" s="1"/>
  <c r="O499" i="2"/>
  <c r="P499" i="2" s="1"/>
  <c r="M500" i="2"/>
  <c r="N500" i="2"/>
  <c r="O500" i="2"/>
  <c r="P500" i="2"/>
  <c r="M501" i="2"/>
  <c r="N501" i="2"/>
  <c r="O501" i="2"/>
  <c r="P501" i="2"/>
  <c r="M502" i="2"/>
  <c r="N502" i="2" s="1"/>
  <c r="O502" i="2"/>
  <c r="P502" i="2"/>
  <c r="M503" i="2"/>
  <c r="N503" i="2" s="1"/>
  <c r="O503" i="2"/>
  <c r="P503" i="2" s="1"/>
  <c r="M504" i="2"/>
  <c r="N504" i="2" s="1"/>
  <c r="O504" i="2"/>
  <c r="P504" i="2"/>
  <c r="M505" i="2"/>
  <c r="N505" i="2" s="1"/>
  <c r="O505" i="2"/>
  <c r="P505" i="2"/>
  <c r="M506" i="2"/>
  <c r="N506" i="2"/>
  <c r="O506" i="2"/>
  <c r="P506" i="2" s="1"/>
  <c r="M507" i="2"/>
  <c r="N507" i="2"/>
  <c r="O507" i="2"/>
  <c r="P507" i="2"/>
  <c r="M508" i="2"/>
  <c r="N508" i="2" s="1"/>
  <c r="O508" i="2"/>
  <c r="P508" i="2"/>
  <c r="M509" i="2"/>
  <c r="N509" i="2"/>
  <c r="O509" i="2"/>
  <c r="P509" i="2"/>
  <c r="M510" i="2"/>
  <c r="N510" i="2" s="1"/>
  <c r="O510" i="2"/>
  <c r="P510" i="2" s="1"/>
  <c r="M511" i="2"/>
  <c r="N511" i="2" s="1"/>
  <c r="O511" i="2"/>
  <c r="P511" i="2"/>
  <c r="M512" i="2"/>
  <c r="N512" i="2"/>
  <c r="O512" i="2"/>
  <c r="P512" i="2"/>
  <c r="M513" i="2"/>
  <c r="N513" i="2" s="1"/>
  <c r="O513" i="2"/>
  <c r="P513" i="2" s="1"/>
  <c r="M514" i="2"/>
  <c r="N514" i="2" s="1"/>
  <c r="O514" i="2"/>
  <c r="P514" i="2" s="1"/>
  <c r="M515" i="2"/>
  <c r="N515" i="2"/>
  <c r="O515" i="2"/>
  <c r="P515" i="2"/>
  <c r="M516" i="2"/>
  <c r="N516" i="2" s="1"/>
  <c r="O516" i="2"/>
  <c r="P516" i="2" s="1"/>
  <c r="M517" i="2"/>
  <c r="N517" i="2"/>
  <c r="O517" i="2"/>
  <c r="P517" i="2" s="1"/>
  <c r="M518" i="2"/>
  <c r="N518" i="2" s="1"/>
  <c r="O518" i="2"/>
  <c r="P518" i="2"/>
  <c r="M519" i="2"/>
  <c r="N519" i="2" s="1"/>
  <c r="O519" i="2"/>
  <c r="P519" i="2" s="1"/>
  <c r="M520" i="2"/>
  <c r="N520" i="2"/>
  <c r="O520" i="2"/>
  <c r="P520" i="2"/>
  <c r="M521" i="2"/>
  <c r="N521" i="2" s="1"/>
  <c r="O521" i="2"/>
  <c r="P521" i="2" s="1"/>
  <c r="M522" i="2"/>
  <c r="N522" i="2" s="1"/>
  <c r="O522" i="2"/>
  <c r="P522" i="2" s="1"/>
  <c r="M523" i="2"/>
  <c r="N523" i="2"/>
  <c r="O523" i="2"/>
  <c r="P523" i="2"/>
  <c r="M524" i="2"/>
  <c r="N524" i="2"/>
  <c r="O524" i="2"/>
  <c r="P524" i="2" s="1"/>
  <c r="M525" i="2"/>
  <c r="N525" i="2" s="1"/>
  <c r="O525" i="2"/>
  <c r="P525" i="2" s="1"/>
  <c r="M526" i="2"/>
  <c r="N526" i="2"/>
  <c r="O526" i="2"/>
  <c r="P526" i="2"/>
  <c r="M527" i="2"/>
  <c r="N527" i="2"/>
  <c r="O527" i="2"/>
  <c r="P527" i="2"/>
  <c r="M528" i="2"/>
  <c r="N528" i="2" s="1"/>
  <c r="O528" i="2"/>
  <c r="P528" i="2" s="1"/>
  <c r="M529" i="2"/>
  <c r="N529" i="2" s="1"/>
  <c r="O529" i="2"/>
  <c r="P529" i="2"/>
  <c r="M530" i="2"/>
  <c r="N530" i="2"/>
  <c r="O530" i="2"/>
  <c r="P530" i="2"/>
  <c r="M531" i="2"/>
  <c r="N531" i="2" s="1"/>
  <c r="O531" i="2"/>
  <c r="P531" i="2" s="1"/>
  <c r="M532" i="2"/>
  <c r="N532" i="2" s="1"/>
  <c r="O532" i="2"/>
  <c r="P532" i="2" s="1"/>
  <c r="M533" i="2"/>
  <c r="N533" i="2"/>
  <c r="O533" i="2"/>
  <c r="P533" i="2"/>
  <c r="M534" i="2"/>
  <c r="N534" i="2" s="1"/>
  <c r="O534" i="2"/>
  <c r="P534" i="2" s="1"/>
  <c r="M535" i="2"/>
  <c r="N535" i="2"/>
  <c r="O535" i="2"/>
  <c r="P535" i="2" s="1"/>
  <c r="M536" i="2"/>
  <c r="N536" i="2" s="1"/>
  <c r="O536" i="2"/>
  <c r="P536" i="2"/>
  <c r="M537" i="2"/>
  <c r="N537" i="2" s="1"/>
  <c r="O537" i="2"/>
  <c r="P537" i="2" s="1"/>
  <c r="M538" i="2"/>
  <c r="N538" i="2"/>
  <c r="O538" i="2"/>
  <c r="P538" i="2"/>
  <c r="M539" i="2"/>
  <c r="N539" i="2" s="1"/>
  <c r="O539" i="2"/>
  <c r="P539" i="2" s="1"/>
  <c r="M540" i="2"/>
  <c r="N540" i="2" s="1"/>
  <c r="O540" i="2"/>
  <c r="P540" i="2" s="1"/>
  <c r="M541" i="2"/>
  <c r="N541" i="2"/>
  <c r="O541" i="2"/>
  <c r="P541" i="2"/>
  <c r="M542" i="2"/>
  <c r="N542" i="2"/>
  <c r="O542" i="2"/>
  <c r="P542" i="2" s="1"/>
  <c r="M543" i="2"/>
  <c r="N543" i="2" s="1"/>
  <c r="O543" i="2"/>
  <c r="P543" i="2" s="1"/>
  <c r="M544" i="2"/>
  <c r="N544" i="2"/>
  <c r="O544" i="2"/>
  <c r="P544" i="2"/>
  <c r="M545" i="2"/>
  <c r="N545" i="2"/>
  <c r="O545" i="2"/>
  <c r="P545" i="2"/>
  <c r="M546" i="2"/>
  <c r="N546" i="2" s="1"/>
  <c r="O546" i="2"/>
  <c r="P546" i="2" s="1"/>
  <c r="M547" i="2"/>
  <c r="N547" i="2" s="1"/>
  <c r="O547" i="2"/>
  <c r="P547" i="2"/>
  <c r="M548" i="2"/>
  <c r="N548" i="2"/>
  <c r="O548" i="2"/>
  <c r="P548" i="2"/>
  <c r="M549" i="2"/>
  <c r="N549" i="2" s="1"/>
  <c r="O549" i="2"/>
  <c r="P549" i="2" s="1"/>
  <c r="M550" i="2"/>
  <c r="N550" i="2" s="1"/>
  <c r="O550" i="2"/>
  <c r="P550" i="2" s="1"/>
  <c r="M551" i="2"/>
  <c r="N551" i="2"/>
  <c r="O551" i="2"/>
  <c r="P551" i="2"/>
  <c r="M552" i="2"/>
  <c r="N552" i="2" s="1"/>
  <c r="O552" i="2"/>
  <c r="P552" i="2" s="1"/>
  <c r="M553" i="2"/>
  <c r="N553" i="2"/>
  <c r="O553" i="2"/>
  <c r="P553" i="2" s="1"/>
  <c r="M554" i="2"/>
  <c r="N554" i="2" s="1"/>
  <c r="O554" i="2"/>
  <c r="P554" i="2"/>
  <c r="M555" i="2"/>
  <c r="N555" i="2" s="1"/>
  <c r="O555" i="2"/>
  <c r="P555" i="2" s="1"/>
  <c r="M556" i="2"/>
  <c r="N556" i="2"/>
  <c r="O556" i="2"/>
  <c r="P556" i="2"/>
  <c r="M557" i="2"/>
  <c r="N557" i="2" s="1"/>
  <c r="O557" i="2"/>
  <c r="P557" i="2" s="1"/>
  <c r="M558" i="2"/>
  <c r="N558" i="2" s="1"/>
  <c r="O558" i="2"/>
  <c r="P558" i="2" s="1"/>
  <c r="M559" i="2"/>
  <c r="N559" i="2"/>
  <c r="O559" i="2"/>
  <c r="P559" i="2"/>
  <c r="M560" i="2"/>
  <c r="N560" i="2"/>
  <c r="O560" i="2"/>
  <c r="P560" i="2" s="1"/>
  <c r="M561" i="2"/>
  <c r="N561" i="2" s="1"/>
  <c r="O561" i="2"/>
  <c r="P561" i="2" s="1"/>
  <c r="M562" i="2"/>
  <c r="N562" i="2"/>
  <c r="O562" i="2"/>
  <c r="P562" i="2"/>
  <c r="M563" i="2"/>
  <c r="N563" i="2"/>
  <c r="O563" i="2"/>
  <c r="P563" i="2"/>
  <c r="M564" i="2"/>
  <c r="N564" i="2" s="1"/>
  <c r="O564" i="2"/>
  <c r="P564" i="2" s="1"/>
  <c r="M565" i="2"/>
  <c r="N565" i="2" s="1"/>
  <c r="O565" i="2"/>
  <c r="P565" i="2"/>
  <c r="M566" i="2"/>
  <c r="N566" i="2"/>
  <c r="O566" i="2"/>
  <c r="P566" i="2"/>
  <c r="M567" i="2"/>
  <c r="N567" i="2" s="1"/>
  <c r="O567" i="2"/>
  <c r="P567" i="2" s="1"/>
  <c r="M568" i="2"/>
  <c r="N568" i="2" s="1"/>
  <c r="O568" i="2"/>
  <c r="P568" i="2" s="1"/>
  <c r="M569" i="2"/>
  <c r="N569" i="2"/>
  <c r="O569" i="2"/>
  <c r="P569" i="2"/>
  <c r="M570" i="2"/>
  <c r="N570" i="2" s="1"/>
  <c r="O570" i="2"/>
  <c r="P570" i="2" s="1"/>
  <c r="M571" i="2"/>
  <c r="N571" i="2"/>
  <c r="O571" i="2"/>
  <c r="P571" i="2" s="1"/>
  <c r="M572" i="2"/>
  <c r="N572" i="2" s="1"/>
  <c r="O572" i="2"/>
  <c r="P572" i="2"/>
  <c r="M573" i="2"/>
  <c r="N573" i="2" s="1"/>
  <c r="O573" i="2"/>
  <c r="P573" i="2" s="1"/>
  <c r="M574" i="2"/>
  <c r="N574" i="2"/>
  <c r="O574" i="2"/>
  <c r="P574" i="2"/>
  <c r="M575" i="2"/>
  <c r="N575" i="2" s="1"/>
  <c r="O575" i="2"/>
  <c r="P575" i="2" s="1"/>
  <c r="M576" i="2"/>
  <c r="N576" i="2" s="1"/>
  <c r="O576" i="2"/>
  <c r="P576" i="2" s="1"/>
  <c r="M577" i="2"/>
  <c r="N577" i="2"/>
  <c r="O577" i="2"/>
  <c r="P577" i="2"/>
  <c r="M578" i="2"/>
  <c r="N578" i="2"/>
  <c r="O578" i="2"/>
  <c r="P578" i="2" s="1"/>
  <c r="M579" i="2"/>
  <c r="N579" i="2" s="1"/>
  <c r="O579" i="2"/>
  <c r="P579" i="2" s="1"/>
  <c r="M580" i="2"/>
  <c r="N580" i="2"/>
  <c r="O580" i="2"/>
  <c r="P580" i="2"/>
  <c r="M581" i="2"/>
  <c r="N581" i="2"/>
  <c r="O581" i="2"/>
  <c r="P581" i="2"/>
  <c r="M582" i="2"/>
  <c r="N582" i="2" s="1"/>
  <c r="O582" i="2"/>
  <c r="P582" i="2" s="1"/>
  <c r="M583" i="2"/>
  <c r="N583" i="2" s="1"/>
  <c r="O583" i="2"/>
  <c r="P583" i="2"/>
  <c r="M584" i="2"/>
  <c r="N584" i="2"/>
  <c r="O584" i="2"/>
  <c r="P584" i="2"/>
  <c r="M585" i="2"/>
  <c r="N585" i="2" s="1"/>
  <c r="O585" i="2"/>
  <c r="P585" i="2" s="1"/>
  <c r="M586" i="2"/>
  <c r="N586" i="2" s="1"/>
  <c r="O586" i="2"/>
  <c r="P586" i="2" s="1"/>
  <c r="M587" i="2"/>
  <c r="N587" i="2"/>
  <c r="O587" i="2"/>
  <c r="P587" i="2"/>
  <c r="M588" i="2"/>
  <c r="N588" i="2" s="1"/>
  <c r="O588" i="2"/>
  <c r="P588" i="2" s="1"/>
  <c r="M589" i="2"/>
  <c r="N589" i="2"/>
  <c r="O589" i="2"/>
  <c r="P589" i="2" s="1"/>
  <c r="M590" i="2"/>
  <c r="N590" i="2" s="1"/>
  <c r="O590" i="2"/>
  <c r="P590" i="2"/>
  <c r="M591" i="2"/>
  <c r="N591" i="2" s="1"/>
  <c r="O591" i="2"/>
  <c r="P591" i="2" s="1"/>
  <c r="M592" i="2"/>
  <c r="N592" i="2"/>
  <c r="O592" i="2"/>
  <c r="P592" i="2"/>
  <c r="M593" i="2"/>
  <c r="N593" i="2" s="1"/>
  <c r="O593" i="2"/>
  <c r="P593" i="2" s="1"/>
  <c r="M594" i="2"/>
  <c r="N594" i="2" s="1"/>
  <c r="O594" i="2"/>
  <c r="P594" i="2" s="1"/>
  <c r="M595" i="2"/>
  <c r="N595" i="2"/>
  <c r="O595" i="2"/>
  <c r="P595" i="2"/>
  <c r="M596" i="2"/>
  <c r="N596" i="2"/>
  <c r="O596" i="2"/>
  <c r="P596" i="2" s="1"/>
  <c r="M597" i="2"/>
  <c r="N597" i="2" s="1"/>
  <c r="O597" i="2"/>
  <c r="P597" i="2" s="1"/>
  <c r="M598" i="2"/>
  <c r="N598" i="2"/>
  <c r="O598" i="2"/>
  <c r="P598" i="2"/>
  <c r="M599" i="2"/>
  <c r="N599" i="2"/>
  <c r="O599" i="2"/>
  <c r="P599" i="2"/>
  <c r="M600" i="2"/>
  <c r="N600" i="2" s="1"/>
  <c r="O600" i="2"/>
  <c r="P600" i="2" s="1"/>
  <c r="M601" i="2"/>
  <c r="N601" i="2" s="1"/>
  <c r="O601" i="2"/>
  <c r="P601" i="2"/>
  <c r="M602" i="2"/>
  <c r="N602" i="2"/>
  <c r="O602" i="2"/>
  <c r="P602" i="2"/>
  <c r="M603" i="2"/>
  <c r="N603" i="2" s="1"/>
  <c r="O603" i="2"/>
  <c r="P603" i="2" s="1"/>
  <c r="M604" i="2"/>
  <c r="N604" i="2" s="1"/>
  <c r="O604" i="2"/>
  <c r="P604" i="2" s="1"/>
  <c r="M605" i="2"/>
  <c r="N605" i="2"/>
  <c r="O605" i="2"/>
  <c r="P605" i="2"/>
  <c r="M606" i="2"/>
  <c r="N606" i="2" s="1"/>
  <c r="O606" i="2"/>
  <c r="P606" i="2" s="1"/>
  <c r="M607" i="2"/>
  <c r="N607" i="2"/>
  <c r="O607" i="2"/>
  <c r="P607" i="2" s="1"/>
  <c r="M608" i="2"/>
  <c r="N608" i="2" s="1"/>
  <c r="O608" i="2"/>
  <c r="P608" i="2"/>
  <c r="M609" i="2"/>
  <c r="N609" i="2" s="1"/>
  <c r="O609" i="2"/>
  <c r="P609" i="2" s="1"/>
  <c r="M610" i="2"/>
  <c r="N610" i="2"/>
  <c r="O610" i="2"/>
  <c r="P610" i="2"/>
  <c r="M611" i="2"/>
  <c r="N611" i="2" s="1"/>
  <c r="O611" i="2"/>
  <c r="P611" i="2" s="1"/>
  <c r="M612" i="2"/>
  <c r="N612" i="2" s="1"/>
  <c r="O612" i="2"/>
  <c r="P612" i="2" s="1"/>
  <c r="M613" i="2"/>
  <c r="N613" i="2"/>
  <c r="O613" i="2"/>
  <c r="P613" i="2"/>
  <c r="M614" i="2"/>
  <c r="N614" i="2"/>
  <c r="O614" i="2"/>
  <c r="P614" i="2" s="1"/>
  <c r="M615" i="2"/>
  <c r="N615" i="2" s="1"/>
  <c r="O615" i="2"/>
  <c r="P615" i="2" s="1"/>
  <c r="M616" i="2"/>
  <c r="N616" i="2"/>
  <c r="O616" i="2"/>
  <c r="P616" i="2"/>
  <c r="M617" i="2"/>
  <c r="N617" i="2"/>
  <c r="O617" i="2"/>
  <c r="P617" i="2"/>
  <c r="M618" i="2"/>
  <c r="N618" i="2" s="1"/>
  <c r="O618" i="2"/>
  <c r="P618" i="2" s="1"/>
  <c r="M619" i="2"/>
  <c r="N619" i="2" s="1"/>
  <c r="O619" i="2"/>
  <c r="P619" i="2"/>
  <c r="M620" i="2"/>
  <c r="N620" i="2"/>
  <c r="O620" i="2"/>
  <c r="P620" i="2"/>
  <c r="M621" i="2"/>
  <c r="N621" i="2" s="1"/>
  <c r="O621" i="2"/>
  <c r="P621" i="2" s="1"/>
  <c r="M622" i="2"/>
  <c r="N622" i="2"/>
  <c r="O622" i="2"/>
  <c r="P622" i="2"/>
  <c r="M623" i="2"/>
  <c r="N623" i="2"/>
  <c r="O623" i="2"/>
  <c r="P623" i="2"/>
  <c r="M624" i="2"/>
  <c r="N624" i="2" s="1"/>
  <c r="O624" i="2"/>
  <c r="P624" i="2"/>
  <c r="M625" i="2"/>
  <c r="N625" i="2" s="1"/>
  <c r="O625" i="2"/>
  <c r="P625" i="2" s="1"/>
  <c r="M626" i="2"/>
  <c r="N626" i="2"/>
  <c r="O626" i="2"/>
  <c r="P626" i="2"/>
  <c r="M627" i="2"/>
  <c r="N627" i="2" s="1"/>
  <c r="O627" i="2"/>
  <c r="P627" i="2"/>
  <c r="M628" i="2"/>
  <c r="N628" i="2" s="1"/>
  <c r="O628" i="2"/>
  <c r="P628" i="2"/>
  <c r="M629" i="2"/>
  <c r="N629" i="2"/>
  <c r="O629" i="2"/>
  <c r="P629" i="2"/>
  <c r="M630" i="2"/>
  <c r="N630" i="2" s="1"/>
  <c r="O630" i="2"/>
  <c r="P630" i="2"/>
  <c r="M631" i="2"/>
  <c r="N631" i="2"/>
  <c r="O631" i="2"/>
  <c r="P631" i="2" s="1"/>
  <c r="M632" i="2"/>
  <c r="N632" i="2" s="1"/>
  <c r="O632" i="2"/>
  <c r="P632" i="2"/>
  <c r="M633" i="2"/>
  <c r="N633" i="2" s="1"/>
  <c r="O633" i="2"/>
  <c r="P633" i="2"/>
  <c r="M634" i="2"/>
  <c r="N634" i="2"/>
  <c r="O634" i="2"/>
  <c r="P634" i="2" s="1"/>
  <c r="M635" i="2"/>
  <c r="N635" i="2"/>
  <c r="O635" i="2"/>
  <c r="P635" i="2"/>
  <c r="M636" i="2"/>
  <c r="N636" i="2" s="1"/>
  <c r="O636" i="2"/>
  <c r="P636" i="2"/>
  <c r="M637" i="2"/>
  <c r="N637" i="2"/>
  <c r="O637" i="2"/>
  <c r="P637" i="2"/>
  <c r="M638" i="2"/>
  <c r="N638" i="2" s="1"/>
  <c r="O638" i="2"/>
  <c r="P638" i="2" s="1"/>
  <c r="M639" i="2"/>
  <c r="N639" i="2" s="1"/>
  <c r="O639" i="2"/>
  <c r="P639" i="2"/>
  <c r="M640" i="2"/>
  <c r="N640" i="2"/>
  <c r="O640" i="2"/>
  <c r="P640" i="2"/>
  <c r="M641" i="2"/>
  <c r="N641" i="2" s="1"/>
  <c r="O641" i="2"/>
  <c r="P641" i="2"/>
  <c r="M642" i="2"/>
  <c r="N642" i="2" s="1"/>
  <c r="O642" i="2"/>
  <c r="P642" i="2"/>
  <c r="M643" i="2"/>
  <c r="N643" i="2"/>
  <c r="O643" i="2"/>
  <c r="P643" i="2"/>
  <c r="M644" i="2"/>
  <c r="N644" i="2"/>
  <c r="O644" i="2"/>
  <c r="P644" i="2" s="1"/>
  <c r="M645" i="2"/>
  <c r="N645" i="2" s="1"/>
  <c r="O645" i="2"/>
  <c r="P645" i="2"/>
  <c r="M646" i="2"/>
  <c r="N646" i="2"/>
  <c r="O646" i="2"/>
  <c r="P646" i="2"/>
  <c r="M647" i="2"/>
  <c r="N647" i="2"/>
  <c r="O647" i="2"/>
  <c r="P647" i="2" s="1"/>
  <c r="M648" i="2"/>
  <c r="N648" i="2" s="1"/>
  <c r="O648" i="2"/>
  <c r="P648" i="2" s="1"/>
  <c r="M649" i="2"/>
  <c r="N649" i="2"/>
  <c r="O649" i="2"/>
  <c r="P649" i="2"/>
  <c r="M650" i="2"/>
  <c r="N650" i="2"/>
  <c r="O650" i="2"/>
  <c r="P650" i="2"/>
  <c r="M651" i="2"/>
  <c r="N651" i="2" s="1"/>
  <c r="O651" i="2"/>
  <c r="P651" i="2"/>
  <c r="M652" i="2"/>
  <c r="N652" i="2"/>
  <c r="O652" i="2"/>
  <c r="P652" i="2"/>
  <c r="M653" i="2"/>
  <c r="N653" i="2"/>
  <c r="O653" i="2"/>
  <c r="P653" i="2"/>
  <c r="M654" i="2"/>
  <c r="N654" i="2" s="1"/>
  <c r="O654" i="2"/>
  <c r="P654" i="2" s="1"/>
  <c r="M655" i="2"/>
  <c r="N655" i="2" s="1"/>
  <c r="O655" i="2"/>
  <c r="P655" i="2"/>
  <c r="M656" i="2"/>
  <c r="N656" i="2"/>
  <c r="O656" i="2"/>
  <c r="P656" i="2"/>
  <c r="M657" i="2"/>
  <c r="N657" i="2" s="1"/>
  <c r="O657" i="2"/>
  <c r="P657" i="2" s="1"/>
  <c r="M658" i="2"/>
  <c r="N658" i="2"/>
  <c r="O658" i="2"/>
  <c r="P658" i="2"/>
  <c r="M659" i="2"/>
  <c r="N659" i="2"/>
  <c r="O659" i="2"/>
  <c r="P659" i="2"/>
  <c r="M660" i="2"/>
  <c r="N660" i="2" s="1"/>
  <c r="O660" i="2"/>
  <c r="P660" i="2"/>
  <c r="M661" i="2"/>
  <c r="N661" i="2" s="1"/>
  <c r="O661" i="2"/>
  <c r="P661" i="2" s="1"/>
  <c r="M662" i="2"/>
  <c r="N662" i="2"/>
  <c r="O662" i="2"/>
  <c r="P662" i="2"/>
  <c r="M663" i="2"/>
  <c r="N663" i="2" s="1"/>
  <c r="O663" i="2"/>
  <c r="P663" i="2"/>
  <c r="M664" i="2"/>
  <c r="N664" i="2" s="1"/>
  <c r="O664" i="2"/>
  <c r="P664" i="2"/>
  <c r="M665" i="2"/>
  <c r="N665" i="2"/>
  <c r="O665" i="2"/>
  <c r="P665" i="2"/>
  <c r="M666" i="2"/>
  <c r="N666" i="2" s="1"/>
  <c r="O666" i="2"/>
  <c r="P666" i="2"/>
  <c r="M667" i="2"/>
  <c r="N667" i="2"/>
  <c r="O667" i="2"/>
  <c r="P667" i="2" s="1"/>
  <c r="M668" i="2"/>
  <c r="N668" i="2" s="1"/>
  <c r="O668" i="2"/>
  <c r="P668" i="2"/>
  <c r="M669" i="2"/>
  <c r="N669" i="2" s="1"/>
  <c r="O669" i="2"/>
  <c r="P669" i="2"/>
  <c r="M670" i="2"/>
  <c r="N670" i="2"/>
  <c r="O670" i="2"/>
  <c r="P670" i="2" s="1"/>
  <c r="M671" i="2"/>
  <c r="N671" i="2"/>
  <c r="O671" i="2"/>
  <c r="P671" i="2"/>
  <c r="M672" i="2"/>
  <c r="N672" i="2" s="1"/>
  <c r="O672" i="2"/>
  <c r="P672" i="2"/>
  <c r="M673" i="2"/>
  <c r="N673" i="2"/>
  <c r="O673" i="2"/>
  <c r="P673" i="2"/>
  <c r="M674" i="2"/>
  <c r="N674" i="2" s="1"/>
  <c r="O674" i="2"/>
  <c r="P674" i="2" s="1"/>
  <c r="M675" i="2"/>
  <c r="N675" i="2" s="1"/>
  <c r="O675" i="2"/>
  <c r="P675" i="2"/>
  <c r="M676" i="2"/>
  <c r="N676" i="2"/>
  <c r="O676" i="2"/>
  <c r="P676" i="2"/>
  <c r="M677" i="2"/>
  <c r="N677" i="2" s="1"/>
  <c r="O677" i="2"/>
  <c r="P677" i="2"/>
  <c r="M678" i="2"/>
  <c r="N678" i="2" s="1"/>
  <c r="O678" i="2"/>
  <c r="P678" i="2"/>
  <c r="M679" i="2"/>
  <c r="N679" i="2"/>
  <c r="O679" i="2"/>
  <c r="P679" i="2"/>
  <c r="M680" i="2"/>
  <c r="N680" i="2"/>
  <c r="O680" i="2"/>
  <c r="P680" i="2" s="1"/>
  <c r="M681" i="2"/>
  <c r="N681" i="2" s="1"/>
  <c r="O681" i="2"/>
  <c r="P681" i="2"/>
  <c r="M682" i="2"/>
  <c r="N682" i="2"/>
  <c r="O682" i="2"/>
  <c r="P682" i="2"/>
  <c r="M683" i="2"/>
  <c r="N683" i="2"/>
  <c r="O683" i="2"/>
  <c r="P683" i="2" s="1"/>
  <c r="M684" i="2"/>
  <c r="N684" i="2" s="1"/>
  <c r="O684" i="2"/>
  <c r="P684" i="2" s="1"/>
  <c r="M685" i="2"/>
  <c r="N685" i="2"/>
  <c r="O685" i="2"/>
  <c r="P685" i="2"/>
  <c r="M686" i="2"/>
  <c r="N686" i="2"/>
  <c r="O686" i="2"/>
  <c r="P686" i="2"/>
  <c r="M687" i="2"/>
  <c r="N687" i="2" s="1"/>
  <c r="O687" i="2"/>
  <c r="P687" i="2"/>
  <c r="M688" i="2"/>
  <c r="N688" i="2" s="1"/>
  <c r="O688" i="2"/>
  <c r="P688" i="2"/>
  <c r="M689" i="2"/>
  <c r="N689" i="2"/>
  <c r="O689" i="2"/>
  <c r="P689" i="2"/>
  <c r="M690" i="2"/>
  <c r="N690" i="2" s="1"/>
  <c r="O690" i="2"/>
  <c r="P690" i="2" s="1"/>
  <c r="M691" i="2"/>
  <c r="N691" i="2"/>
  <c r="O691" i="2"/>
  <c r="P691" i="2"/>
  <c r="M692" i="2"/>
  <c r="N692" i="2"/>
  <c r="O692" i="2"/>
  <c r="P692" i="2"/>
  <c r="M693" i="2"/>
  <c r="N693" i="2" s="1"/>
  <c r="O693" i="2"/>
  <c r="P693" i="2" s="1"/>
  <c r="M694" i="2"/>
  <c r="N694" i="2"/>
  <c r="O694" i="2"/>
  <c r="P694" i="2" s="1"/>
  <c r="M695" i="2"/>
  <c r="N695" i="2"/>
  <c r="O695" i="2"/>
  <c r="P695" i="2"/>
  <c r="M696" i="2"/>
  <c r="N696" i="2" s="1"/>
  <c r="O696" i="2"/>
  <c r="P696" i="2"/>
  <c r="M697" i="2"/>
  <c r="N697" i="2" s="1"/>
  <c r="O697" i="2"/>
  <c r="P697" i="2"/>
  <c r="M698" i="2"/>
  <c r="N698" i="2"/>
  <c r="O698" i="2"/>
  <c r="P698" i="2"/>
  <c r="M699" i="2"/>
  <c r="N699" i="2" s="1"/>
  <c r="O699" i="2"/>
  <c r="P699" i="2"/>
  <c r="M700" i="2"/>
  <c r="N700" i="2" s="1"/>
  <c r="O700" i="2"/>
  <c r="P700" i="2"/>
  <c r="M701" i="2"/>
  <c r="N701" i="2" s="1"/>
  <c r="O701" i="2"/>
  <c r="P701" i="2"/>
  <c r="M702" i="2"/>
  <c r="N702" i="2" s="1"/>
  <c r="O702" i="2"/>
  <c r="P702" i="2"/>
  <c r="M703" i="2"/>
  <c r="N703" i="2"/>
  <c r="O703" i="2"/>
  <c r="P703" i="2" s="1"/>
  <c r="M704" i="2"/>
  <c r="N704" i="2"/>
  <c r="O704" i="2"/>
  <c r="P704" i="2"/>
  <c r="M705" i="2"/>
  <c r="N705" i="2" s="1"/>
  <c r="O705" i="2"/>
  <c r="P705" i="2"/>
  <c r="M706" i="2"/>
  <c r="N706" i="2"/>
  <c r="O706" i="2"/>
  <c r="P706" i="2" s="1"/>
  <c r="M707" i="2"/>
  <c r="N707" i="2"/>
  <c r="O707" i="2"/>
  <c r="P707" i="2" s="1"/>
  <c r="M708" i="2"/>
  <c r="N708" i="2" s="1"/>
  <c r="O708" i="2"/>
  <c r="P708" i="2"/>
  <c r="M709" i="2"/>
  <c r="N709" i="2"/>
  <c r="O709" i="2"/>
  <c r="P709" i="2"/>
  <c r="M710" i="2"/>
  <c r="N710" i="2" s="1"/>
  <c r="O710" i="2"/>
  <c r="P710" i="2"/>
  <c r="M711" i="2"/>
  <c r="N711" i="2" s="1"/>
  <c r="O711" i="2"/>
  <c r="P711" i="2"/>
  <c r="M712" i="2"/>
  <c r="N712" i="2"/>
  <c r="O712" i="2"/>
  <c r="P712" i="2"/>
  <c r="M713" i="2"/>
  <c r="N713" i="2" s="1"/>
  <c r="O713" i="2"/>
  <c r="P713" i="2"/>
  <c r="M714" i="2"/>
  <c r="N714" i="2" s="1"/>
  <c r="O714" i="2"/>
  <c r="P714" i="2"/>
  <c r="M715" i="2"/>
  <c r="N715" i="2"/>
  <c r="O715" i="2"/>
  <c r="P715" i="2"/>
  <c r="M716" i="2"/>
  <c r="N716" i="2"/>
  <c r="O716" i="2"/>
  <c r="P716" i="2" s="1"/>
  <c r="M717" i="2"/>
  <c r="N717" i="2" s="1"/>
  <c r="O717" i="2"/>
  <c r="P717" i="2" s="1"/>
  <c r="M718" i="2"/>
  <c r="N718" i="2"/>
  <c r="O718" i="2"/>
  <c r="P718" i="2"/>
  <c r="M719" i="2"/>
  <c r="N719" i="2"/>
  <c r="O719" i="2"/>
  <c r="P719" i="2" s="1"/>
  <c r="M720" i="2"/>
  <c r="N720" i="2" s="1"/>
  <c r="O720" i="2"/>
  <c r="P720" i="2"/>
  <c r="M721" i="2"/>
  <c r="N721" i="2"/>
  <c r="O721" i="2"/>
  <c r="P721" i="2"/>
  <c r="M722" i="2"/>
  <c r="N722" i="2"/>
  <c r="O722" i="2"/>
  <c r="P722" i="2"/>
  <c r="M723" i="2"/>
  <c r="N723" i="2" s="1"/>
  <c r="O723" i="2"/>
  <c r="P723" i="2"/>
  <c r="M724" i="2"/>
  <c r="N724" i="2" s="1"/>
  <c r="O724" i="2"/>
  <c r="P724" i="2"/>
  <c r="M725" i="2"/>
  <c r="N725" i="2"/>
  <c r="O725" i="2"/>
  <c r="P725" i="2"/>
  <c r="M726" i="2"/>
  <c r="N726" i="2" s="1"/>
  <c r="O726" i="2"/>
  <c r="P726" i="2" s="1"/>
  <c r="M727" i="2"/>
  <c r="N727" i="2"/>
  <c r="O727" i="2"/>
  <c r="P727" i="2"/>
  <c r="M728" i="2"/>
  <c r="N728" i="2"/>
  <c r="O728" i="2"/>
  <c r="P728" i="2"/>
  <c r="M729" i="2"/>
  <c r="N729" i="2" s="1"/>
  <c r="O729" i="2"/>
  <c r="P729" i="2" s="1"/>
  <c r="M730" i="2"/>
  <c r="N730" i="2"/>
  <c r="O730" i="2"/>
  <c r="P730" i="2" s="1"/>
  <c r="M731" i="2"/>
  <c r="N731" i="2"/>
  <c r="O731" i="2"/>
  <c r="P731" i="2"/>
  <c r="M732" i="2"/>
  <c r="N732" i="2" s="1"/>
  <c r="O732" i="2"/>
  <c r="P732" i="2"/>
  <c r="M733" i="2"/>
  <c r="N733" i="2" s="1"/>
  <c r="O733" i="2"/>
  <c r="P733" i="2"/>
  <c r="M734" i="2"/>
  <c r="N734" i="2"/>
  <c r="O734" i="2"/>
  <c r="P734" i="2"/>
  <c r="M735" i="2"/>
  <c r="N735" i="2" s="1"/>
  <c r="O735" i="2"/>
  <c r="P735" i="2"/>
  <c r="M736" i="2"/>
  <c r="N736" i="2" s="1"/>
  <c r="O736" i="2"/>
  <c r="P736" i="2"/>
  <c r="M737" i="2"/>
  <c r="N737" i="2" s="1"/>
  <c r="O737" i="2"/>
  <c r="P737" i="2"/>
  <c r="M738" i="2"/>
  <c r="N738" i="2" s="1"/>
  <c r="O738" i="2"/>
  <c r="P738" i="2"/>
  <c r="M739" i="2"/>
  <c r="N739" i="2"/>
  <c r="O739" i="2"/>
  <c r="P739" i="2" s="1"/>
  <c r="M740" i="2"/>
  <c r="N740" i="2"/>
  <c r="O740" i="2"/>
  <c r="P740" i="2"/>
  <c r="M741" i="2"/>
  <c r="N741" i="2" s="1"/>
  <c r="O741" i="2"/>
  <c r="P741" i="2"/>
  <c r="M742" i="2"/>
  <c r="N742" i="2"/>
  <c r="O742" i="2"/>
  <c r="P742" i="2" s="1"/>
  <c r="M743" i="2"/>
  <c r="N743" i="2"/>
  <c r="O743" i="2"/>
  <c r="P743" i="2" s="1"/>
  <c r="M744" i="2"/>
  <c r="N744" i="2" s="1"/>
  <c r="O744" i="2"/>
  <c r="P744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L704" i="2" s="1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L728" i="2" s="1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L741" i="2" s="1"/>
  <c r="K742" i="2"/>
  <c r="K743" i="2"/>
  <c r="K744" i="2"/>
  <c r="L744" i="2" s="1"/>
  <c r="P255" i="2"/>
  <c r="O255" i="2"/>
  <c r="K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2" i="2"/>
  <c r="L743" i="2"/>
  <c r="J256" i="2"/>
  <c r="J257" i="2"/>
  <c r="J258" i="2"/>
  <c r="J259" i="2"/>
  <c r="J260" i="2"/>
  <c r="J261" i="2"/>
  <c r="J745" i="2" s="1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L255" i="2"/>
  <c r="N255" i="2"/>
  <c r="J255" i="2"/>
  <c r="M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255" i="2"/>
  <c r="B18" i="3"/>
  <c r="B17" i="3"/>
  <c r="B14" i="3"/>
  <c r="B13" i="3"/>
  <c r="F2" i="2"/>
  <c r="E2" i="2"/>
  <c r="D2" i="2"/>
  <c r="C2" i="2"/>
  <c r="B2" i="2"/>
  <c r="G33" i="2" s="1"/>
  <c r="H33" i="2" s="1"/>
  <c r="G25" i="2"/>
  <c r="H25" i="2" s="1"/>
  <c r="G28" i="2"/>
  <c r="H28" i="2" s="1"/>
  <c r="G29" i="2"/>
  <c r="H29" i="2" s="1"/>
  <c r="G46" i="2"/>
  <c r="H46" i="2" s="1"/>
  <c r="G47" i="2"/>
  <c r="H47" i="2" s="1"/>
  <c r="G48" i="2"/>
  <c r="H48" i="2" s="1"/>
  <c r="G58" i="2"/>
  <c r="H58" i="2" s="1"/>
  <c r="G59" i="2"/>
  <c r="H59" i="2" s="1"/>
  <c r="G60" i="2"/>
  <c r="H60" i="2" s="1"/>
  <c r="G70" i="2"/>
  <c r="H70" i="2" s="1"/>
  <c r="G71" i="2"/>
  <c r="H71" i="2" s="1"/>
  <c r="G72" i="2"/>
  <c r="H72" i="2" s="1"/>
  <c r="G81" i="2"/>
  <c r="H81" i="2" s="1"/>
  <c r="G82" i="2"/>
  <c r="H82" i="2" s="1"/>
  <c r="G83" i="2"/>
  <c r="H83" i="2" s="1"/>
  <c r="G84" i="2"/>
  <c r="H84" i="2" s="1"/>
  <c r="G93" i="2"/>
  <c r="H93" i="2" s="1"/>
  <c r="G94" i="2"/>
  <c r="H94" i="2" s="1"/>
  <c r="G95" i="2"/>
  <c r="H95" i="2" s="1"/>
  <c r="G96" i="2"/>
  <c r="H96" i="2" s="1"/>
  <c r="G105" i="2"/>
  <c r="H105" i="2" s="1"/>
  <c r="G106" i="2"/>
  <c r="H106" i="2" s="1"/>
  <c r="G107" i="2"/>
  <c r="H107" i="2" s="1"/>
  <c r="G108" i="2"/>
  <c r="H108" i="2" s="1"/>
  <c r="G117" i="2"/>
  <c r="H117" i="2" s="1"/>
  <c r="G118" i="2"/>
  <c r="H118" i="2" s="1"/>
  <c r="G119" i="2"/>
  <c r="H119" i="2" s="1"/>
  <c r="G120" i="2"/>
  <c r="H120" i="2" s="1"/>
  <c r="G129" i="2"/>
  <c r="H129" i="2" s="1"/>
  <c r="G130" i="2"/>
  <c r="H130" i="2" s="1"/>
  <c r="G131" i="2"/>
  <c r="H131" i="2" s="1"/>
  <c r="G132" i="2"/>
  <c r="H132" i="2" s="1"/>
  <c r="G141" i="2"/>
  <c r="H141" i="2" s="1"/>
  <c r="G142" i="2"/>
  <c r="H142" i="2" s="1"/>
  <c r="G143" i="2"/>
  <c r="H143" i="2" s="1"/>
  <c r="G144" i="2"/>
  <c r="H144" i="2" s="1"/>
  <c r="G153" i="2"/>
  <c r="H153" i="2" s="1"/>
  <c r="G154" i="2"/>
  <c r="H154" i="2" s="1"/>
  <c r="G155" i="2"/>
  <c r="H155" i="2" s="1"/>
  <c r="G156" i="2"/>
  <c r="H156" i="2" s="1"/>
  <c r="G165" i="2"/>
  <c r="H165" i="2" s="1"/>
  <c r="G166" i="2"/>
  <c r="H166" i="2" s="1"/>
  <c r="G167" i="2"/>
  <c r="H167" i="2" s="1"/>
  <c r="G168" i="2"/>
  <c r="H168" i="2" s="1"/>
  <c r="G177" i="2"/>
  <c r="H177" i="2" s="1"/>
  <c r="G178" i="2"/>
  <c r="H178" i="2" s="1"/>
  <c r="G179" i="2"/>
  <c r="H179" i="2" s="1"/>
  <c r="G180" i="2"/>
  <c r="H180" i="2" s="1"/>
  <c r="G189" i="2"/>
  <c r="H189" i="2" s="1"/>
  <c r="G190" i="2"/>
  <c r="H190" i="2" s="1"/>
  <c r="G191" i="2"/>
  <c r="H191" i="2" s="1"/>
  <c r="G192" i="2"/>
  <c r="H192" i="2" s="1"/>
  <c r="G201" i="2"/>
  <c r="H201" i="2" s="1"/>
  <c r="G202" i="2"/>
  <c r="H202" i="2" s="1"/>
  <c r="G203" i="2"/>
  <c r="H203" i="2" s="1"/>
  <c r="G204" i="2"/>
  <c r="H204" i="2" s="1"/>
  <c r="G213" i="2"/>
  <c r="H213" i="2" s="1"/>
  <c r="G214" i="2"/>
  <c r="H214" i="2" s="1"/>
  <c r="G215" i="2"/>
  <c r="H215" i="2" s="1"/>
  <c r="G216" i="2"/>
  <c r="H216" i="2" s="1"/>
  <c r="G225" i="2"/>
  <c r="H225" i="2" s="1"/>
  <c r="G226" i="2"/>
  <c r="H226" i="2" s="1"/>
  <c r="G227" i="2"/>
  <c r="H227" i="2" s="1"/>
  <c r="G228" i="2"/>
  <c r="H228" i="2" s="1"/>
  <c r="G237" i="2"/>
  <c r="H237" i="2" s="1"/>
  <c r="G238" i="2"/>
  <c r="H238" i="2" s="1"/>
  <c r="G239" i="2"/>
  <c r="H239" i="2" s="1"/>
  <c r="G240" i="2"/>
  <c r="H240" i="2" s="1"/>
  <c r="G249" i="2"/>
  <c r="H249" i="2" s="1"/>
  <c r="G250" i="2"/>
  <c r="H250" i="2" s="1"/>
  <c r="G251" i="2"/>
  <c r="H251" i="2" s="1"/>
  <c r="G252" i="2"/>
  <c r="H252" i="2" s="1"/>
  <c r="G261" i="2"/>
  <c r="H261" i="2" s="1"/>
  <c r="G262" i="2"/>
  <c r="H262" i="2" s="1"/>
  <c r="G263" i="2"/>
  <c r="H263" i="2" s="1"/>
  <c r="G264" i="2"/>
  <c r="H264" i="2" s="1"/>
  <c r="G273" i="2"/>
  <c r="H273" i="2" s="1"/>
  <c r="G274" i="2"/>
  <c r="H274" i="2" s="1"/>
  <c r="G275" i="2"/>
  <c r="H275" i="2" s="1"/>
  <c r="G276" i="2"/>
  <c r="H276" i="2" s="1"/>
  <c r="G285" i="2"/>
  <c r="H285" i="2" s="1"/>
  <c r="G286" i="2"/>
  <c r="H286" i="2" s="1"/>
  <c r="G287" i="2"/>
  <c r="H287" i="2" s="1"/>
  <c r="G288" i="2"/>
  <c r="H288" i="2" s="1"/>
  <c r="G297" i="2"/>
  <c r="H297" i="2" s="1"/>
  <c r="G298" i="2"/>
  <c r="H298" i="2" s="1"/>
  <c r="G299" i="2"/>
  <c r="H299" i="2" s="1"/>
  <c r="G300" i="2"/>
  <c r="H300" i="2" s="1"/>
  <c r="G309" i="2"/>
  <c r="H309" i="2" s="1"/>
  <c r="G310" i="2"/>
  <c r="H310" i="2" s="1"/>
  <c r="G311" i="2"/>
  <c r="H311" i="2" s="1"/>
  <c r="G312" i="2"/>
  <c r="H312" i="2" s="1"/>
  <c r="G321" i="2"/>
  <c r="H321" i="2" s="1"/>
  <c r="G322" i="2"/>
  <c r="H322" i="2" s="1"/>
  <c r="G323" i="2"/>
  <c r="H323" i="2" s="1"/>
  <c r="G324" i="2"/>
  <c r="H324" i="2" s="1"/>
  <c r="G333" i="2"/>
  <c r="H333" i="2" s="1"/>
  <c r="G334" i="2"/>
  <c r="H334" i="2" s="1"/>
  <c r="G335" i="2"/>
  <c r="H335" i="2" s="1"/>
  <c r="G336" i="2"/>
  <c r="H336" i="2" s="1"/>
  <c r="G345" i="2"/>
  <c r="H345" i="2" s="1"/>
  <c r="G346" i="2"/>
  <c r="H346" i="2" s="1"/>
  <c r="G347" i="2"/>
  <c r="H347" i="2" s="1"/>
  <c r="G348" i="2"/>
  <c r="H348" i="2" s="1"/>
  <c r="G357" i="2"/>
  <c r="H357" i="2" s="1"/>
  <c r="G358" i="2"/>
  <c r="H358" i="2" s="1"/>
  <c r="G359" i="2"/>
  <c r="H359" i="2" s="1"/>
  <c r="G360" i="2"/>
  <c r="H360" i="2" s="1"/>
  <c r="G369" i="2"/>
  <c r="H369" i="2" s="1"/>
  <c r="G370" i="2"/>
  <c r="H370" i="2" s="1"/>
  <c r="G371" i="2"/>
  <c r="H371" i="2" s="1"/>
  <c r="G372" i="2"/>
  <c r="H372" i="2" s="1"/>
  <c r="G381" i="2"/>
  <c r="H381" i="2" s="1"/>
  <c r="G382" i="2"/>
  <c r="H382" i="2" s="1"/>
  <c r="G383" i="2"/>
  <c r="H383" i="2" s="1"/>
  <c r="G384" i="2"/>
  <c r="H384" i="2" s="1"/>
  <c r="G393" i="2"/>
  <c r="H393" i="2" s="1"/>
  <c r="G394" i="2"/>
  <c r="H394" i="2" s="1"/>
  <c r="G395" i="2"/>
  <c r="H395" i="2" s="1"/>
  <c r="G396" i="2"/>
  <c r="H396" i="2" s="1"/>
  <c r="G402" i="2"/>
  <c r="H402" i="2" s="1"/>
  <c r="G405" i="2"/>
  <c r="H405" i="2" s="1"/>
  <c r="G406" i="2"/>
  <c r="H406" i="2" s="1"/>
  <c r="G407" i="2"/>
  <c r="H407" i="2" s="1"/>
  <c r="G408" i="2"/>
  <c r="H408" i="2" s="1"/>
  <c r="G417" i="2"/>
  <c r="H417" i="2" s="1"/>
  <c r="G418" i="2"/>
  <c r="H418" i="2" s="1"/>
  <c r="G419" i="2"/>
  <c r="H419" i="2" s="1"/>
  <c r="G420" i="2"/>
  <c r="H420" i="2" s="1"/>
  <c r="G429" i="2"/>
  <c r="H429" i="2" s="1"/>
  <c r="G430" i="2"/>
  <c r="H430" i="2" s="1"/>
  <c r="G431" i="2"/>
  <c r="H431" i="2" s="1"/>
  <c r="G432" i="2"/>
  <c r="H432" i="2" s="1"/>
  <c r="G438" i="2"/>
  <c r="H438" i="2" s="1"/>
  <c r="G441" i="2"/>
  <c r="H441" i="2" s="1"/>
  <c r="G442" i="2"/>
  <c r="H442" i="2" s="1"/>
  <c r="G443" i="2"/>
  <c r="H443" i="2" s="1"/>
  <c r="G444" i="2"/>
  <c r="H444" i="2" s="1"/>
  <c r="G453" i="2"/>
  <c r="H453" i="2" s="1"/>
  <c r="G454" i="2"/>
  <c r="H454" i="2" s="1"/>
  <c r="G455" i="2"/>
  <c r="H455" i="2" s="1"/>
  <c r="G456" i="2"/>
  <c r="H456" i="2" s="1"/>
  <c r="G465" i="2"/>
  <c r="H465" i="2" s="1"/>
  <c r="G466" i="2"/>
  <c r="H466" i="2" s="1"/>
  <c r="G467" i="2"/>
  <c r="H467" i="2" s="1"/>
  <c r="G468" i="2"/>
  <c r="H468" i="2" s="1"/>
  <c r="G477" i="2"/>
  <c r="H477" i="2" s="1"/>
  <c r="G478" i="2"/>
  <c r="H478" i="2" s="1"/>
  <c r="G479" i="2"/>
  <c r="H479" i="2" s="1"/>
  <c r="G480" i="2"/>
  <c r="H480" i="2" s="1"/>
  <c r="G486" i="2"/>
  <c r="H486" i="2" s="1"/>
  <c r="G489" i="2"/>
  <c r="H489" i="2" s="1"/>
  <c r="G490" i="2"/>
  <c r="H490" i="2" s="1"/>
  <c r="G491" i="2"/>
  <c r="H491" i="2" s="1"/>
  <c r="G492" i="2"/>
  <c r="H492" i="2" s="1"/>
  <c r="G501" i="2"/>
  <c r="H501" i="2" s="1"/>
  <c r="G502" i="2"/>
  <c r="H502" i="2" s="1"/>
  <c r="G503" i="2"/>
  <c r="H503" i="2" s="1"/>
  <c r="G504" i="2"/>
  <c r="H504" i="2" s="1"/>
  <c r="G513" i="2"/>
  <c r="H513" i="2" s="1"/>
  <c r="G514" i="2"/>
  <c r="H514" i="2" s="1"/>
  <c r="G515" i="2"/>
  <c r="H515" i="2" s="1"/>
  <c r="G516" i="2"/>
  <c r="H516" i="2" s="1"/>
  <c r="G525" i="2"/>
  <c r="H525" i="2" s="1"/>
  <c r="G526" i="2"/>
  <c r="H526" i="2" s="1"/>
  <c r="G527" i="2"/>
  <c r="H527" i="2" s="1"/>
  <c r="G528" i="2"/>
  <c r="H528" i="2" s="1"/>
  <c r="G537" i="2"/>
  <c r="H537" i="2" s="1"/>
  <c r="G538" i="2"/>
  <c r="H538" i="2" s="1"/>
  <c r="G539" i="2"/>
  <c r="H539" i="2" s="1"/>
  <c r="G540" i="2"/>
  <c r="H540" i="2" s="1"/>
  <c r="G549" i="2"/>
  <c r="H549" i="2" s="1"/>
  <c r="G550" i="2"/>
  <c r="H550" i="2" s="1"/>
  <c r="G551" i="2"/>
  <c r="H551" i="2" s="1"/>
  <c r="G552" i="2"/>
  <c r="H552" i="2" s="1"/>
  <c r="G561" i="2"/>
  <c r="H561" i="2" s="1"/>
  <c r="G562" i="2"/>
  <c r="H562" i="2" s="1"/>
  <c r="G563" i="2"/>
  <c r="H563" i="2" s="1"/>
  <c r="G564" i="2"/>
  <c r="H564" i="2" s="1"/>
  <c r="G573" i="2"/>
  <c r="H573" i="2" s="1"/>
  <c r="G574" i="2"/>
  <c r="H574" i="2" s="1"/>
  <c r="G575" i="2"/>
  <c r="H575" i="2" s="1"/>
  <c r="G576" i="2"/>
  <c r="H576" i="2" s="1"/>
  <c r="G585" i="2"/>
  <c r="H585" i="2" s="1"/>
  <c r="G586" i="2"/>
  <c r="H586" i="2" s="1"/>
  <c r="G587" i="2"/>
  <c r="H587" i="2" s="1"/>
  <c r="G588" i="2"/>
  <c r="H588" i="2" s="1"/>
  <c r="G597" i="2"/>
  <c r="H597" i="2" s="1"/>
  <c r="G598" i="2"/>
  <c r="H598" i="2" s="1"/>
  <c r="G599" i="2"/>
  <c r="H599" i="2" s="1"/>
  <c r="G600" i="2"/>
  <c r="H600" i="2" s="1"/>
  <c r="G606" i="2"/>
  <c r="H606" i="2" s="1"/>
  <c r="G609" i="2"/>
  <c r="H609" i="2" s="1"/>
  <c r="G610" i="2"/>
  <c r="H610" i="2" s="1"/>
  <c r="G611" i="2"/>
  <c r="H611" i="2" s="1"/>
  <c r="G612" i="2"/>
  <c r="H612" i="2" s="1"/>
  <c r="G621" i="2"/>
  <c r="H621" i="2" s="1"/>
  <c r="G622" i="2"/>
  <c r="H622" i="2" s="1"/>
  <c r="G623" i="2"/>
  <c r="H623" i="2" s="1"/>
  <c r="G624" i="2"/>
  <c r="H624" i="2" s="1"/>
  <c r="G633" i="2"/>
  <c r="H633" i="2" s="1"/>
  <c r="G634" i="2"/>
  <c r="H634" i="2" s="1"/>
  <c r="G635" i="2"/>
  <c r="H635" i="2" s="1"/>
  <c r="G636" i="2"/>
  <c r="H636" i="2" s="1"/>
  <c r="G645" i="2"/>
  <c r="H645" i="2" s="1"/>
  <c r="G646" i="2"/>
  <c r="H646" i="2" s="1"/>
  <c r="G647" i="2"/>
  <c r="H647" i="2" s="1"/>
  <c r="G648" i="2"/>
  <c r="H648" i="2" s="1"/>
  <c r="G657" i="2"/>
  <c r="H657" i="2" s="1"/>
  <c r="G658" i="2"/>
  <c r="H658" i="2" s="1"/>
  <c r="G659" i="2"/>
  <c r="H659" i="2" s="1"/>
  <c r="G660" i="2"/>
  <c r="H660" i="2" s="1"/>
  <c r="G669" i="2"/>
  <c r="H669" i="2" s="1"/>
  <c r="G670" i="2"/>
  <c r="H670" i="2" s="1"/>
  <c r="G671" i="2"/>
  <c r="H671" i="2" s="1"/>
  <c r="G672" i="2"/>
  <c r="H672" i="2" s="1"/>
  <c r="G681" i="2"/>
  <c r="H681" i="2" s="1"/>
  <c r="G682" i="2"/>
  <c r="H682" i="2" s="1"/>
  <c r="G683" i="2"/>
  <c r="H683" i="2" s="1"/>
  <c r="G684" i="2"/>
  <c r="H684" i="2" s="1"/>
  <c r="G693" i="2"/>
  <c r="H693" i="2" s="1"/>
  <c r="G694" i="2"/>
  <c r="H694" i="2" s="1"/>
  <c r="G695" i="2"/>
  <c r="H695" i="2" s="1"/>
  <c r="G696" i="2"/>
  <c r="H696" i="2" s="1"/>
  <c r="G705" i="2"/>
  <c r="H705" i="2" s="1"/>
  <c r="G706" i="2"/>
  <c r="H706" i="2" s="1"/>
  <c r="G707" i="2"/>
  <c r="H707" i="2" s="1"/>
  <c r="G708" i="2"/>
  <c r="H708" i="2" s="1"/>
  <c r="G717" i="2"/>
  <c r="H717" i="2" s="1"/>
  <c r="G718" i="2"/>
  <c r="H718" i="2" s="1"/>
  <c r="G719" i="2"/>
  <c r="H719" i="2" s="1"/>
  <c r="G720" i="2"/>
  <c r="H720" i="2" s="1"/>
  <c r="G729" i="2"/>
  <c r="H729" i="2" s="1"/>
  <c r="G730" i="2"/>
  <c r="H730" i="2" s="1"/>
  <c r="G731" i="2"/>
  <c r="H731" i="2" s="1"/>
  <c r="G732" i="2"/>
  <c r="H732" i="2" s="1"/>
  <c r="G741" i="2"/>
  <c r="H741" i="2" s="1"/>
  <c r="G742" i="2"/>
  <c r="H742" i="2" s="1"/>
  <c r="G743" i="2"/>
  <c r="H743" i="2" s="1"/>
  <c r="G744" i="2"/>
  <c r="H744" i="2" s="1"/>
  <c r="C7" i="3"/>
  <c r="E6" i="3"/>
  <c r="D6" i="3"/>
  <c r="E5" i="3"/>
  <c r="D5" i="3"/>
  <c r="D4" i="3"/>
  <c r="E4" i="3" s="1"/>
  <c r="D3" i="3"/>
  <c r="E3" i="3" s="1"/>
  <c r="D2" i="3"/>
  <c r="D7" i="3" s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C6" i="2"/>
  <c r="B6" i="2"/>
  <c r="D6" i="2"/>
  <c r="E6" i="2"/>
  <c r="F6" i="2"/>
  <c r="C7" i="2"/>
  <c r="B7" i="2"/>
  <c r="D7" i="2"/>
  <c r="E7" i="2"/>
  <c r="F7" i="2"/>
  <c r="C8" i="2"/>
  <c r="B8" i="2"/>
  <c r="D8" i="2"/>
  <c r="E8" i="2"/>
  <c r="F8" i="2"/>
  <c r="C9" i="2"/>
  <c r="B9" i="2"/>
  <c r="D9" i="2"/>
  <c r="E9" i="2"/>
  <c r="F9" i="2"/>
  <c r="C10" i="2"/>
  <c r="B10" i="2"/>
  <c r="D10" i="2"/>
  <c r="E10" i="2"/>
  <c r="F10" i="2"/>
  <c r="C11" i="2"/>
  <c r="B11" i="2"/>
  <c r="D11" i="2"/>
  <c r="E11" i="2"/>
  <c r="F11" i="2"/>
  <c r="C12" i="2"/>
  <c r="B12" i="2"/>
  <c r="D12" i="2"/>
  <c r="E12" i="2"/>
  <c r="F12" i="2"/>
  <c r="C13" i="2"/>
  <c r="B13" i="2"/>
  <c r="D13" i="2"/>
  <c r="E13" i="2"/>
  <c r="F13" i="2"/>
  <c r="C14" i="2"/>
  <c r="B14" i="2"/>
  <c r="D14" i="2"/>
  <c r="E14" i="2"/>
  <c r="F14" i="2"/>
  <c r="C15" i="2"/>
  <c r="B15" i="2"/>
  <c r="D15" i="2"/>
  <c r="E15" i="2"/>
  <c r="F15" i="2"/>
  <c r="C16" i="2"/>
  <c r="B16" i="2"/>
  <c r="D16" i="2"/>
  <c r="E16" i="2"/>
  <c r="F16" i="2"/>
  <c r="C17" i="2"/>
  <c r="B17" i="2"/>
  <c r="D17" i="2"/>
  <c r="E17" i="2"/>
  <c r="F17" i="2"/>
  <c r="C18" i="2"/>
  <c r="B18" i="2"/>
  <c r="D18" i="2"/>
  <c r="E18" i="2"/>
  <c r="F18" i="2"/>
  <c r="C19" i="2"/>
  <c r="B19" i="2"/>
  <c r="D19" i="2"/>
  <c r="E19" i="2"/>
  <c r="F19" i="2"/>
  <c r="C20" i="2"/>
  <c r="B20" i="2"/>
  <c r="D20" i="2"/>
  <c r="E20" i="2"/>
  <c r="F20" i="2"/>
  <c r="C21" i="2"/>
  <c r="B21" i="2"/>
  <c r="D21" i="2"/>
  <c r="E21" i="2"/>
  <c r="F21" i="2"/>
  <c r="C22" i="2"/>
  <c r="B22" i="2"/>
  <c r="D22" i="2"/>
  <c r="E22" i="2"/>
  <c r="F22" i="2"/>
  <c r="C23" i="2"/>
  <c r="B23" i="2"/>
  <c r="D23" i="2"/>
  <c r="E23" i="2"/>
  <c r="F23" i="2"/>
  <c r="C24" i="2"/>
  <c r="B24" i="2"/>
  <c r="D24" i="2"/>
  <c r="E24" i="2"/>
  <c r="F24" i="2"/>
  <c r="C25" i="2"/>
  <c r="B25" i="2"/>
  <c r="D25" i="2"/>
  <c r="E25" i="2"/>
  <c r="F25" i="2"/>
  <c r="C26" i="2"/>
  <c r="B26" i="2"/>
  <c r="D26" i="2"/>
  <c r="E26" i="2"/>
  <c r="F26" i="2"/>
  <c r="C27" i="2"/>
  <c r="B27" i="2"/>
  <c r="D27" i="2"/>
  <c r="E27" i="2"/>
  <c r="F27" i="2"/>
  <c r="C28" i="2"/>
  <c r="B28" i="2"/>
  <c r="D28" i="2"/>
  <c r="E28" i="2"/>
  <c r="F28" i="2"/>
  <c r="C29" i="2"/>
  <c r="B29" i="2"/>
  <c r="D29" i="2"/>
  <c r="E29" i="2"/>
  <c r="F29" i="2"/>
  <c r="C30" i="2"/>
  <c r="B30" i="2"/>
  <c r="D30" i="2"/>
  <c r="E30" i="2"/>
  <c r="F30" i="2"/>
  <c r="C31" i="2"/>
  <c r="B31" i="2"/>
  <c r="D31" i="2"/>
  <c r="E31" i="2"/>
  <c r="F31" i="2"/>
  <c r="C32" i="2"/>
  <c r="B32" i="2"/>
  <c r="D32" i="2"/>
  <c r="E32" i="2"/>
  <c r="F32" i="2"/>
  <c r="C33" i="2"/>
  <c r="B33" i="2"/>
  <c r="D33" i="2"/>
  <c r="E33" i="2"/>
  <c r="F33" i="2"/>
  <c r="C34" i="2"/>
  <c r="B34" i="2"/>
  <c r="D34" i="2"/>
  <c r="E34" i="2"/>
  <c r="F34" i="2"/>
  <c r="C35" i="2"/>
  <c r="B35" i="2"/>
  <c r="D35" i="2"/>
  <c r="E35" i="2"/>
  <c r="F35" i="2"/>
  <c r="C36" i="2"/>
  <c r="B36" i="2"/>
  <c r="D36" i="2"/>
  <c r="E36" i="2"/>
  <c r="F36" i="2"/>
  <c r="C37" i="2"/>
  <c r="B37" i="2"/>
  <c r="D37" i="2"/>
  <c r="E37" i="2"/>
  <c r="F37" i="2"/>
  <c r="C38" i="2"/>
  <c r="B38" i="2"/>
  <c r="D38" i="2"/>
  <c r="E38" i="2"/>
  <c r="F38" i="2"/>
  <c r="C39" i="2"/>
  <c r="B39" i="2"/>
  <c r="D39" i="2"/>
  <c r="E39" i="2"/>
  <c r="F39" i="2"/>
  <c r="C40" i="2"/>
  <c r="B40" i="2"/>
  <c r="D40" i="2"/>
  <c r="E40" i="2"/>
  <c r="F40" i="2"/>
  <c r="C41" i="2"/>
  <c r="B41" i="2"/>
  <c r="D41" i="2"/>
  <c r="E41" i="2"/>
  <c r="F41" i="2"/>
  <c r="C42" i="2"/>
  <c r="B42" i="2"/>
  <c r="D42" i="2"/>
  <c r="E42" i="2"/>
  <c r="F42" i="2"/>
  <c r="C43" i="2"/>
  <c r="B43" i="2"/>
  <c r="D43" i="2"/>
  <c r="E43" i="2"/>
  <c r="F43" i="2"/>
  <c r="C44" i="2"/>
  <c r="B44" i="2"/>
  <c r="D44" i="2"/>
  <c r="E44" i="2"/>
  <c r="F44" i="2"/>
  <c r="C45" i="2"/>
  <c r="B45" i="2"/>
  <c r="D45" i="2"/>
  <c r="E45" i="2"/>
  <c r="F45" i="2"/>
  <c r="C46" i="2"/>
  <c r="B46" i="2"/>
  <c r="D46" i="2"/>
  <c r="E46" i="2"/>
  <c r="F46" i="2"/>
  <c r="C47" i="2"/>
  <c r="B47" i="2"/>
  <c r="D47" i="2"/>
  <c r="E47" i="2"/>
  <c r="F47" i="2"/>
  <c r="C48" i="2"/>
  <c r="B48" i="2"/>
  <c r="D48" i="2"/>
  <c r="E48" i="2"/>
  <c r="F48" i="2"/>
  <c r="C49" i="2"/>
  <c r="B49" i="2"/>
  <c r="D49" i="2"/>
  <c r="E49" i="2"/>
  <c r="F49" i="2"/>
  <c r="C50" i="2"/>
  <c r="B50" i="2"/>
  <c r="D50" i="2"/>
  <c r="E50" i="2"/>
  <c r="F50" i="2"/>
  <c r="C51" i="2"/>
  <c r="B51" i="2"/>
  <c r="D51" i="2"/>
  <c r="E51" i="2"/>
  <c r="F51" i="2"/>
  <c r="C52" i="2"/>
  <c r="B52" i="2"/>
  <c r="D52" i="2"/>
  <c r="E52" i="2"/>
  <c r="F52" i="2"/>
  <c r="C53" i="2"/>
  <c r="B53" i="2"/>
  <c r="D53" i="2"/>
  <c r="E53" i="2"/>
  <c r="F53" i="2"/>
  <c r="C54" i="2"/>
  <c r="B54" i="2"/>
  <c r="D54" i="2"/>
  <c r="E54" i="2"/>
  <c r="F54" i="2"/>
  <c r="C55" i="2"/>
  <c r="B55" i="2"/>
  <c r="D55" i="2"/>
  <c r="E55" i="2"/>
  <c r="F55" i="2"/>
  <c r="C56" i="2"/>
  <c r="B56" i="2"/>
  <c r="D56" i="2"/>
  <c r="E56" i="2"/>
  <c r="F56" i="2"/>
  <c r="C57" i="2"/>
  <c r="B57" i="2"/>
  <c r="D57" i="2"/>
  <c r="E57" i="2"/>
  <c r="F57" i="2"/>
  <c r="C58" i="2"/>
  <c r="B58" i="2"/>
  <c r="D58" i="2"/>
  <c r="E58" i="2"/>
  <c r="F58" i="2"/>
  <c r="C59" i="2"/>
  <c r="B59" i="2"/>
  <c r="D59" i="2"/>
  <c r="E59" i="2"/>
  <c r="F59" i="2"/>
  <c r="C60" i="2"/>
  <c r="B60" i="2"/>
  <c r="D60" i="2"/>
  <c r="E60" i="2"/>
  <c r="F60" i="2"/>
  <c r="C61" i="2"/>
  <c r="B61" i="2"/>
  <c r="D61" i="2"/>
  <c r="E61" i="2"/>
  <c r="F61" i="2"/>
  <c r="C62" i="2"/>
  <c r="B62" i="2"/>
  <c r="D62" i="2"/>
  <c r="E62" i="2"/>
  <c r="F62" i="2"/>
  <c r="C63" i="2"/>
  <c r="B63" i="2"/>
  <c r="D63" i="2"/>
  <c r="E63" i="2"/>
  <c r="F63" i="2"/>
  <c r="C64" i="2"/>
  <c r="B64" i="2"/>
  <c r="D64" i="2"/>
  <c r="E64" i="2"/>
  <c r="F64" i="2"/>
  <c r="C65" i="2"/>
  <c r="B65" i="2"/>
  <c r="D65" i="2"/>
  <c r="E65" i="2"/>
  <c r="F65" i="2"/>
  <c r="C66" i="2"/>
  <c r="B66" i="2"/>
  <c r="D66" i="2"/>
  <c r="E66" i="2"/>
  <c r="F66" i="2"/>
  <c r="C67" i="2"/>
  <c r="B67" i="2"/>
  <c r="D67" i="2"/>
  <c r="E67" i="2"/>
  <c r="F67" i="2"/>
  <c r="C68" i="2"/>
  <c r="B68" i="2"/>
  <c r="D68" i="2"/>
  <c r="E68" i="2"/>
  <c r="F68" i="2"/>
  <c r="C69" i="2"/>
  <c r="B69" i="2"/>
  <c r="D69" i="2"/>
  <c r="E69" i="2"/>
  <c r="F69" i="2"/>
  <c r="C70" i="2"/>
  <c r="B70" i="2"/>
  <c r="D70" i="2"/>
  <c r="E70" i="2"/>
  <c r="F70" i="2"/>
  <c r="C71" i="2"/>
  <c r="B71" i="2"/>
  <c r="D71" i="2"/>
  <c r="E71" i="2"/>
  <c r="F71" i="2"/>
  <c r="C72" i="2"/>
  <c r="B72" i="2"/>
  <c r="D72" i="2"/>
  <c r="E72" i="2"/>
  <c r="F72" i="2"/>
  <c r="C73" i="2"/>
  <c r="B73" i="2"/>
  <c r="D73" i="2"/>
  <c r="E73" i="2"/>
  <c r="F73" i="2"/>
  <c r="C74" i="2"/>
  <c r="B74" i="2"/>
  <c r="D74" i="2"/>
  <c r="E74" i="2"/>
  <c r="F74" i="2"/>
  <c r="C75" i="2"/>
  <c r="B75" i="2"/>
  <c r="D75" i="2"/>
  <c r="E75" i="2"/>
  <c r="F75" i="2"/>
  <c r="C76" i="2"/>
  <c r="B76" i="2"/>
  <c r="D76" i="2"/>
  <c r="E76" i="2"/>
  <c r="F76" i="2"/>
  <c r="C77" i="2"/>
  <c r="B77" i="2"/>
  <c r="D77" i="2"/>
  <c r="E77" i="2"/>
  <c r="F77" i="2"/>
  <c r="C78" i="2"/>
  <c r="B78" i="2"/>
  <c r="D78" i="2"/>
  <c r="E78" i="2"/>
  <c r="F78" i="2"/>
  <c r="C79" i="2"/>
  <c r="B79" i="2"/>
  <c r="D79" i="2"/>
  <c r="E79" i="2"/>
  <c r="F79" i="2"/>
  <c r="C80" i="2"/>
  <c r="B80" i="2"/>
  <c r="D80" i="2"/>
  <c r="E80" i="2"/>
  <c r="F80" i="2"/>
  <c r="C81" i="2"/>
  <c r="B81" i="2"/>
  <c r="D81" i="2"/>
  <c r="E81" i="2"/>
  <c r="F81" i="2"/>
  <c r="C82" i="2"/>
  <c r="B82" i="2"/>
  <c r="D82" i="2"/>
  <c r="E82" i="2"/>
  <c r="F82" i="2"/>
  <c r="C83" i="2"/>
  <c r="B83" i="2"/>
  <c r="D83" i="2"/>
  <c r="E83" i="2"/>
  <c r="F83" i="2"/>
  <c r="C84" i="2"/>
  <c r="B84" i="2"/>
  <c r="D84" i="2"/>
  <c r="E84" i="2"/>
  <c r="F84" i="2"/>
  <c r="C85" i="2"/>
  <c r="B85" i="2"/>
  <c r="D85" i="2"/>
  <c r="E85" i="2"/>
  <c r="F85" i="2"/>
  <c r="C86" i="2"/>
  <c r="B86" i="2"/>
  <c r="D86" i="2"/>
  <c r="E86" i="2"/>
  <c r="F86" i="2"/>
  <c r="C87" i="2"/>
  <c r="B87" i="2"/>
  <c r="D87" i="2"/>
  <c r="E87" i="2"/>
  <c r="F87" i="2"/>
  <c r="C88" i="2"/>
  <c r="B88" i="2"/>
  <c r="D88" i="2"/>
  <c r="E88" i="2"/>
  <c r="F88" i="2"/>
  <c r="C89" i="2"/>
  <c r="B89" i="2"/>
  <c r="D89" i="2"/>
  <c r="E89" i="2"/>
  <c r="F89" i="2"/>
  <c r="C90" i="2"/>
  <c r="B90" i="2"/>
  <c r="D90" i="2"/>
  <c r="E90" i="2"/>
  <c r="F90" i="2"/>
  <c r="C91" i="2"/>
  <c r="B91" i="2"/>
  <c r="D91" i="2"/>
  <c r="E91" i="2"/>
  <c r="F91" i="2"/>
  <c r="C92" i="2"/>
  <c r="B92" i="2"/>
  <c r="D92" i="2"/>
  <c r="E92" i="2"/>
  <c r="F92" i="2"/>
  <c r="C93" i="2"/>
  <c r="B93" i="2"/>
  <c r="D93" i="2"/>
  <c r="E93" i="2"/>
  <c r="F93" i="2"/>
  <c r="C94" i="2"/>
  <c r="B94" i="2"/>
  <c r="D94" i="2"/>
  <c r="E94" i="2"/>
  <c r="F94" i="2"/>
  <c r="C95" i="2"/>
  <c r="B95" i="2"/>
  <c r="D95" i="2"/>
  <c r="E95" i="2"/>
  <c r="F95" i="2"/>
  <c r="C96" i="2"/>
  <c r="B96" i="2"/>
  <c r="D96" i="2"/>
  <c r="E96" i="2"/>
  <c r="F96" i="2"/>
  <c r="C97" i="2"/>
  <c r="B97" i="2"/>
  <c r="D97" i="2"/>
  <c r="E97" i="2"/>
  <c r="F97" i="2"/>
  <c r="C98" i="2"/>
  <c r="B98" i="2"/>
  <c r="D98" i="2"/>
  <c r="E98" i="2"/>
  <c r="F98" i="2"/>
  <c r="C99" i="2"/>
  <c r="B99" i="2"/>
  <c r="D99" i="2"/>
  <c r="E99" i="2"/>
  <c r="F99" i="2"/>
  <c r="C100" i="2"/>
  <c r="B100" i="2"/>
  <c r="D100" i="2"/>
  <c r="E100" i="2"/>
  <c r="F100" i="2"/>
  <c r="C101" i="2"/>
  <c r="B101" i="2"/>
  <c r="D101" i="2"/>
  <c r="E101" i="2"/>
  <c r="F101" i="2"/>
  <c r="C102" i="2"/>
  <c r="B102" i="2"/>
  <c r="D102" i="2"/>
  <c r="E102" i="2"/>
  <c r="F102" i="2"/>
  <c r="C103" i="2"/>
  <c r="B103" i="2"/>
  <c r="D103" i="2"/>
  <c r="E103" i="2"/>
  <c r="F103" i="2"/>
  <c r="C104" i="2"/>
  <c r="B104" i="2"/>
  <c r="D104" i="2"/>
  <c r="E104" i="2"/>
  <c r="F104" i="2"/>
  <c r="C105" i="2"/>
  <c r="B105" i="2"/>
  <c r="D105" i="2"/>
  <c r="E105" i="2"/>
  <c r="F105" i="2"/>
  <c r="C106" i="2"/>
  <c r="B106" i="2"/>
  <c r="D106" i="2"/>
  <c r="E106" i="2"/>
  <c r="F106" i="2"/>
  <c r="C107" i="2"/>
  <c r="B107" i="2"/>
  <c r="D107" i="2"/>
  <c r="E107" i="2"/>
  <c r="F107" i="2"/>
  <c r="C108" i="2"/>
  <c r="B108" i="2"/>
  <c r="D108" i="2"/>
  <c r="E108" i="2"/>
  <c r="F108" i="2"/>
  <c r="C109" i="2"/>
  <c r="B109" i="2"/>
  <c r="D109" i="2"/>
  <c r="E109" i="2"/>
  <c r="F109" i="2"/>
  <c r="C110" i="2"/>
  <c r="B110" i="2"/>
  <c r="D110" i="2"/>
  <c r="E110" i="2"/>
  <c r="F110" i="2"/>
  <c r="C111" i="2"/>
  <c r="B111" i="2"/>
  <c r="D111" i="2"/>
  <c r="E111" i="2"/>
  <c r="F111" i="2"/>
  <c r="C112" i="2"/>
  <c r="B112" i="2"/>
  <c r="D112" i="2"/>
  <c r="E112" i="2"/>
  <c r="F112" i="2"/>
  <c r="C113" i="2"/>
  <c r="B113" i="2"/>
  <c r="D113" i="2"/>
  <c r="E113" i="2"/>
  <c r="F113" i="2"/>
  <c r="C114" i="2"/>
  <c r="B114" i="2"/>
  <c r="D114" i="2"/>
  <c r="E114" i="2"/>
  <c r="F114" i="2"/>
  <c r="C115" i="2"/>
  <c r="B115" i="2"/>
  <c r="D115" i="2"/>
  <c r="E115" i="2"/>
  <c r="F115" i="2"/>
  <c r="C116" i="2"/>
  <c r="B116" i="2"/>
  <c r="D116" i="2"/>
  <c r="E116" i="2"/>
  <c r="F116" i="2"/>
  <c r="C117" i="2"/>
  <c r="B117" i="2"/>
  <c r="D117" i="2"/>
  <c r="E117" i="2"/>
  <c r="F117" i="2"/>
  <c r="C118" i="2"/>
  <c r="B118" i="2"/>
  <c r="D118" i="2"/>
  <c r="E118" i="2"/>
  <c r="F118" i="2"/>
  <c r="C119" i="2"/>
  <c r="B119" i="2"/>
  <c r="D119" i="2"/>
  <c r="E119" i="2"/>
  <c r="F119" i="2"/>
  <c r="C120" i="2"/>
  <c r="B120" i="2"/>
  <c r="D120" i="2"/>
  <c r="E120" i="2"/>
  <c r="F120" i="2"/>
  <c r="C121" i="2"/>
  <c r="B121" i="2"/>
  <c r="D121" i="2"/>
  <c r="E121" i="2"/>
  <c r="F121" i="2"/>
  <c r="C122" i="2"/>
  <c r="B122" i="2"/>
  <c r="D122" i="2"/>
  <c r="E122" i="2"/>
  <c r="F122" i="2"/>
  <c r="C123" i="2"/>
  <c r="B123" i="2"/>
  <c r="D123" i="2"/>
  <c r="E123" i="2"/>
  <c r="F123" i="2"/>
  <c r="C124" i="2"/>
  <c r="B124" i="2"/>
  <c r="D124" i="2"/>
  <c r="E124" i="2"/>
  <c r="F124" i="2"/>
  <c r="C125" i="2"/>
  <c r="B125" i="2"/>
  <c r="D125" i="2"/>
  <c r="E125" i="2"/>
  <c r="F125" i="2"/>
  <c r="C126" i="2"/>
  <c r="B126" i="2"/>
  <c r="D126" i="2"/>
  <c r="E126" i="2"/>
  <c r="F126" i="2"/>
  <c r="C127" i="2"/>
  <c r="B127" i="2"/>
  <c r="D127" i="2"/>
  <c r="E127" i="2"/>
  <c r="F127" i="2"/>
  <c r="C128" i="2"/>
  <c r="B128" i="2"/>
  <c r="D128" i="2"/>
  <c r="E128" i="2"/>
  <c r="F128" i="2"/>
  <c r="C129" i="2"/>
  <c r="B129" i="2"/>
  <c r="D129" i="2"/>
  <c r="E129" i="2"/>
  <c r="F129" i="2"/>
  <c r="C130" i="2"/>
  <c r="B130" i="2"/>
  <c r="D130" i="2"/>
  <c r="E130" i="2"/>
  <c r="F130" i="2"/>
  <c r="C131" i="2"/>
  <c r="B131" i="2"/>
  <c r="D131" i="2"/>
  <c r="E131" i="2"/>
  <c r="F131" i="2"/>
  <c r="C132" i="2"/>
  <c r="B132" i="2"/>
  <c r="D132" i="2"/>
  <c r="E132" i="2"/>
  <c r="F132" i="2"/>
  <c r="C133" i="2"/>
  <c r="B133" i="2"/>
  <c r="D133" i="2"/>
  <c r="E133" i="2"/>
  <c r="F133" i="2"/>
  <c r="C134" i="2"/>
  <c r="B134" i="2"/>
  <c r="D134" i="2"/>
  <c r="E134" i="2"/>
  <c r="F134" i="2"/>
  <c r="C135" i="2"/>
  <c r="B135" i="2"/>
  <c r="D135" i="2"/>
  <c r="E135" i="2"/>
  <c r="F135" i="2"/>
  <c r="C136" i="2"/>
  <c r="B136" i="2"/>
  <c r="D136" i="2"/>
  <c r="E136" i="2"/>
  <c r="F136" i="2"/>
  <c r="C137" i="2"/>
  <c r="B137" i="2"/>
  <c r="D137" i="2"/>
  <c r="E137" i="2"/>
  <c r="F137" i="2"/>
  <c r="C138" i="2"/>
  <c r="B138" i="2"/>
  <c r="D138" i="2"/>
  <c r="E138" i="2"/>
  <c r="F138" i="2"/>
  <c r="C139" i="2"/>
  <c r="B139" i="2"/>
  <c r="D139" i="2"/>
  <c r="E139" i="2"/>
  <c r="F139" i="2"/>
  <c r="C140" i="2"/>
  <c r="B140" i="2"/>
  <c r="D140" i="2"/>
  <c r="E140" i="2"/>
  <c r="F140" i="2"/>
  <c r="C141" i="2"/>
  <c r="B141" i="2"/>
  <c r="D141" i="2"/>
  <c r="E141" i="2"/>
  <c r="F141" i="2"/>
  <c r="C142" i="2"/>
  <c r="B142" i="2"/>
  <c r="D142" i="2"/>
  <c r="E142" i="2"/>
  <c r="F142" i="2"/>
  <c r="C143" i="2"/>
  <c r="B143" i="2"/>
  <c r="D143" i="2"/>
  <c r="E143" i="2"/>
  <c r="F143" i="2"/>
  <c r="C144" i="2"/>
  <c r="B144" i="2"/>
  <c r="D144" i="2"/>
  <c r="E144" i="2"/>
  <c r="F144" i="2"/>
  <c r="C145" i="2"/>
  <c r="B145" i="2"/>
  <c r="D145" i="2"/>
  <c r="E145" i="2"/>
  <c r="F145" i="2"/>
  <c r="C146" i="2"/>
  <c r="B146" i="2"/>
  <c r="D146" i="2"/>
  <c r="E146" i="2"/>
  <c r="F146" i="2"/>
  <c r="C147" i="2"/>
  <c r="B147" i="2"/>
  <c r="D147" i="2"/>
  <c r="E147" i="2"/>
  <c r="F147" i="2"/>
  <c r="C148" i="2"/>
  <c r="B148" i="2"/>
  <c r="D148" i="2"/>
  <c r="E148" i="2"/>
  <c r="F148" i="2"/>
  <c r="C149" i="2"/>
  <c r="B149" i="2"/>
  <c r="D149" i="2"/>
  <c r="E149" i="2"/>
  <c r="F149" i="2"/>
  <c r="C150" i="2"/>
  <c r="B150" i="2"/>
  <c r="D150" i="2"/>
  <c r="E150" i="2"/>
  <c r="F150" i="2"/>
  <c r="C151" i="2"/>
  <c r="B151" i="2"/>
  <c r="D151" i="2"/>
  <c r="E151" i="2"/>
  <c r="F151" i="2"/>
  <c r="C152" i="2"/>
  <c r="B152" i="2"/>
  <c r="D152" i="2"/>
  <c r="E152" i="2"/>
  <c r="F152" i="2"/>
  <c r="C153" i="2"/>
  <c r="B153" i="2"/>
  <c r="D153" i="2"/>
  <c r="E153" i="2"/>
  <c r="F153" i="2"/>
  <c r="C154" i="2"/>
  <c r="B154" i="2"/>
  <c r="D154" i="2"/>
  <c r="E154" i="2"/>
  <c r="F154" i="2"/>
  <c r="C155" i="2"/>
  <c r="B155" i="2"/>
  <c r="D155" i="2"/>
  <c r="E155" i="2"/>
  <c r="F155" i="2"/>
  <c r="C156" i="2"/>
  <c r="B156" i="2"/>
  <c r="D156" i="2"/>
  <c r="E156" i="2"/>
  <c r="F156" i="2"/>
  <c r="C157" i="2"/>
  <c r="B157" i="2"/>
  <c r="D157" i="2"/>
  <c r="E157" i="2"/>
  <c r="F157" i="2"/>
  <c r="C158" i="2"/>
  <c r="B158" i="2"/>
  <c r="D158" i="2"/>
  <c r="E158" i="2"/>
  <c r="F158" i="2"/>
  <c r="C159" i="2"/>
  <c r="B159" i="2"/>
  <c r="D159" i="2"/>
  <c r="E159" i="2"/>
  <c r="F159" i="2"/>
  <c r="C160" i="2"/>
  <c r="B160" i="2"/>
  <c r="D160" i="2"/>
  <c r="E160" i="2"/>
  <c r="F160" i="2"/>
  <c r="C161" i="2"/>
  <c r="B161" i="2"/>
  <c r="D161" i="2"/>
  <c r="E161" i="2"/>
  <c r="F161" i="2"/>
  <c r="C162" i="2"/>
  <c r="B162" i="2"/>
  <c r="D162" i="2"/>
  <c r="E162" i="2"/>
  <c r="F162" i="2"/>
  <c r="C163" i="2"/>
  <c r="B163" i="2"/>
  <c r="D163" i="2"/>
  <c r="E163" i="2"/>
  <c r="F163" i="2"/>
  <c r="C164" i="2"/>
  <c r="B164" i="2"/>
  <c r="D164" i="2"/>
  <c r="E164" i="2"/>
  <c r="F164" i="2"/>
  <c r="C165" i="2"/>
  <c r="B165" i="2"/>
  <c r="D165" i="2"/>
  <c r="E165" i="2"/>
  <c r="F165" i="2"/>
  <c r="C166" i="2"/>
  <c r="B166" i="2"/>
  <c r="D166" i="2"/>
  <c r="E166" i="2"/>
  <c r="F166" i="2"/>
  <c r="C167" i="2"/>
  <c r="B167" i="2"/>
  <c r="D167" i="2"/>
  <c r="E167" i="2"/>
  <c r="F167" i="2"/>
  <c r="C168" i="2"/>
  <c r="B168" i="2"/>
  <c r="D168" i="2"/>
  <c r="E168" i="2"/>
  <c r="F168" i="2"/>
  <c r="C169" i="2"/>
  <c r="B169" i="2"/>
  <c r="D169" i="2"/>
  <c r="E169" i="2"/>
  <c r="F169" i="2"/>
  <c r="C170" i="2"/>
  <c r="B170" i="2"/>
  <c r="D170" i="2"/>
  <c r="E170" i="2"/>
  <c r="F170" i="2"/>
  <c r="C171" i="2"/>
  <c r="B171" i="2"/>
  <c r="D171" i="2"/>
  <c r="E171" i="2"/>
  <c r="F171" i="2"/>
  <c r="C172" i="2"/>
  <c r="B172" i="2"/>
  <c r="D172" i="2"/>
  <c r="E172" i="2"/>
  <c r="F172" i="2"/>
  <c r="C173" i="2"/>
  <c r="B173" i="2"/>
  <c r="D173" i="2"/>
  <c r="E173" i="2"/>
  <c r="F173" i="2"/>
  <c r="C174" i="2"/>
  <c r="B174" i="2"/>
  <c r="D174" i="2"/>
  <c r="E174" i="2"/>
  <c r="F174" i="2"/>
  <c r="C175" i="2"/>
  <c r="B175" i="2"/>
  <c r="D175" i="2"/>
  <c r="E175" i="2"/>
  <c r="F175" i="2"/>
  <c r="C176" i="2"/>
  <c r="B176" i="2"/>
  <c r="D176" i="2"/>
  <c r="E176" i="2"/>
  <c r="F176" i="2"/>
  <c r="C177" i="2"/>
  <c r="B177" i="2"/>
  <c r="D177" i="2"/>
  <c r="E177" i="2"/>
  <c r="F177" i="2"/>
  <c r="C178" i="2"/>
  <c r="B178" i="2"/>
  <c r="D178" i="2"/>
  <c r="E178" i="2"/>
  <c r="F178" i="2"/>
  <c r="C179" i="2"/>
  <c r="B179" i="2"/>
  <c r="D179" i="2"/>
  <c r="E179" i="2"/>
  <c r="F179" i="2"/>
  <c r="C180" i="2"/>
  <c r="B180" i="2"/>
  <c r="D180" i="2"/>
  <c r="E180" i="2"/>
  <c r="F180" i="2"/>
  <c r="C181" i="2"/>
  <c r="B181" i="2"/>
  <c r="D181" i="2"/>
  <c r="E181" i="2"/>
  <c r="F181" i="2"/>
  <c r="C182" i="2"/>
  <c r="B182" i="2"/>
  <c r="D182" i="2"/>
  <c r="E182" i="2"/>
  <c r="F182" i="2"/>
  <c r="C183" i="2"/>
  <c r="B183" i="2"/>
  <c r="D183" i="2"/>
  <c r="E183" i="2"/>
  <c r="F183" i="2"/>
  <c r="C184" i="2"/>
  <c r="B184" i="2"/>
  <c r="D184" i="2"/>
  <c r="E184" i="2"/>
  <c r="F184" i="2"/>
  <c r="C185" i="2"/>
  <c r="B185" i="2"/>
  <c r="D185" i="2"/>
  <c r="E185" i="2"/>
  <c r="F185" i="2"/>
  <c r="C186" i="2"/>
  <c r="B186" i="2"/>
  <c r="D186" i="2"/>
  <c r="E186" i="2"/>
  <c r="F186" i="2"/>
  <c r="C187" i="2"/>
  <c r="B187" i="2"/>
  <c r="D187" i="2"/>
  <c r="E187" i="2"/>
  <c r="F187" i="2"/>
  <c r="C188" i="2"/>
  <c r="B188" i="2"/>
  <c r="D188" i="2"/>
  <c r="E188" i="2"/>
  <c r="F188" i="2"/>
  <c r="C189" i="2"/>
  <c r="B189" i="2"/>
  <c r="D189" i="2"/>
  <c r="E189" i="2"/>
  <c r="F189" i="2"/>
  <c r="C190" i="2"/>
  <c r="B190" i="2"/>
  <c r="D190" i="2"/>
  <c r="E190" i="2"/>
  <c r="F190" i="2"/>
  <c r="C191" i="2"/>
  <c r="B191" i="2"/>
  <c r="D191" i="2"/>
  <c r="E191" i="2"/>
  <c r="F191" i="2"/>
  <c r="C192" i="2"/>
  <c r="B192" i="2"/>
  <c r="D192" i="2"/>
  <c r="E192" i="2"/>
  <c r="F192" i="2"/>
  <c r="C193" i="2"/>
  <c r="B193" i="2"/>
  <c r="D193" i="2"/>
  <c r="E193" i="2"/>
  <c r="F193" i="2"/>
  <c r="C194" i="2"/>
  <c r="B194" i="2"/>
  <c r="D194" i="2"/>
  <c r="E194" i="2"/>
  <c r="F194" i="2"/>
  <c r="C195" i="2"/>
  <c r="B195" i="2"/>
  <c r="D195" i="2"/>
  <c r="E195" i="2"/>
  <c r="F195" i="2"/>
  <c r="C196" i="2"/>
  <c r="B196" i="2"/>
  <c r="D196" i="2"/>
  <c r="E196" i="2"/>
  <c r="F196" i="2"/>
  <c r="C197" i="2"/>
  <c r="B197" i="2"/>
  <c r="D197" i="2"/>
  <c r="E197" i="2"/>
  <c r="F197" i="2"/>
  <c r="C198" i="2"/>
  <c r="B198" i="2"/>
  <c r="D198" i="2"/>
  <c r="E198" i="2"/>
  <c r="F198" i="2"/>
  <c r="C199" i="2"/>
  <c r="B199" i="2"/>
  <c r="D199" i="2"/>
  <c r="E199" i="2"/>
  <c r="F199" i="2"/>
  <c r="C200" i="2"/>
  <c r="B200" i="2"/>
  <c r="D200" i="2"/>
  <c r="E200" i="2"/>
  <c r="F200" i="2"/>
  <c r="C201" i="2"/>
  <c r="B201" i="2"/>
  <c r="D201" i="2"/>
  <c r="E201" i="2"/>
  <c r="F201" i="2"/>
  <c r="C202" i="2"/>
  <c r="B202" i="2"/>
  <c r="D202" i="2"/>
  <c r="E202" i="2"/>
  <c r="F202" i="2"/>
  <c r="C203" i="2"/>
  <c r="B203" i="2"/>
  <c r="D203" i="2"/>
  <c r="E203" i="2"/>
  <c r="F203" i="2"/>
  <c r="C204" i="2"/>
  <c r="B204" i="2"/>
  <c r="D204" i="2"/>
  <c r="E204" i="2"/>
  <c r="F204" i="2"/>
  <c r="C205" i="2"/>
  <c r="B205" i="2"/>
  <c r="D205" i="2"/>
  <c r="E205" i="2"/>
  <c r="F205" i="2"/>
  <c r="C206" i="2"/>
  <c r="B206" i="2"/>
  <c r="D206" i="2"/>
  <c r="E206" i="2"/>
  <c r="F206" i="2"/>
  <c r="C207" i="2"/>
  <c r="B207" i="2"/>
  <c r="D207" i="2"/>
  <c r="E207" i="2"/>
  <c r="F207" i="2"/>
  <c r="C208" i="2"/>
  <c r="B208" i="2"/>
  <c r="D208" i="2"/>
  <c r="E208" i="2"/>
  <c r="F208" i="2"/>
  <c r="C209" i="2"/>
  <c r="B209" i="2"/>
  <c r="D209" i="2"/>
  <c r="E209" i="2"/>
  <c r="F209" i="2"/>
  <c r="C210" i="2"/>
  <c r="B210" i="2"/>
  <c r="D210" i="2"/>
  <c r="E210" i="2"/>
  <c r="F210" i="2"/>
  <c r="C211" i="2"/>
  <c r="B211" i="2"/>
  <c r="D211" i="2"/>
  <c r="E211" i="2"/>
  <c r="F211" i="2"/>
  <c r="C212" i="2"/>
  <c r="B212" i="2"/>
  <c r="D212" i="2"/>
  <c r="E212" i="2"/>
  <c r="F212" i="2"/>
  <c r="C213" i="2"/>
  <c r="B213" i="2"/>
  <c r="D213" i="2"/>
  <c r="E213" i="2"/>
  <c r="F213" i="2"/>
  <c r="C214" i="2"/>
  <c r="B214" i="2"/>
  <c r="D214" i="2"/>
  <c r="E214" i="2"/>
  <c r="F214" i="2"/>
  <c r="C215" i="2"/>
  <c r="B215" i="2"/>
  <c r="D215" i="2"/>
  <c r="E215" i="2"/>
  <c r="F215" i="2"/>
  <c r="C216" i="2"/>
  <c r="B216" i="2"/>
  <c r="D216" i="2"/>
  <c r="E216" i="2"/>
  <c r="F216" i="2"/>
  <c r="C217" i="2"/>
  <c r="B217" i="2"/>
  <c r="D217" i="2"/>
  <c r="E217" i="2"/>
  <c r="F217" i="2"/>
  <c r="C218" i="2"/>
  <c r="B218" i="2"/>
  <c r="D218" i="2"/>
  <c r="E218" i="2"/>
  <c r="F218" i="2"/>
  <c r="C219" i="2"/>
  <c r="B219" i="2"/>
  <c r="D219" i="2"/>
  <c r="E219" i="2"/>
  <c r="F219" i="2"/>
  <c r="C220" i="2"/>
  <c r="B220" i="2"/>
  <c r="D220" i="2"/>
  <c r="E220" i="2"/>
  <c r="F220" i="2"/>
  <c r="C221" i="2"/>
  <c r="B221" i="2"/>
  <c r="D221" i="2"/>
  <c r="E221" i="2"/>
  <c r="F221" i="2"/>
  <c r="C222" i="2"/>
  <c r="B222" i="2"/>
  <c r="D222" i="2"/>
  <c r="E222" i="2"/>
  <c r="F222" i="2"/>
  <c r="C223" i="2"/>
  <c r="B223" i="2"/>
  <c r="D223" i="2"/>
  <c r="E223" i="2"/>
  <c r="F223" i="2"/>
  <c r="C224" i="2"/>
  <c r="B224" i="2"/>
  <c r="D224" i="2"/>
  <c r="E224" i="2"/>
  <c r="F224" i="2"/>
  <c r="C225" i="2"/>
  <c r="B225" i="2"/>
  <c r="D225" i="2"/>
  <c r="E225" i="2"/>
  <c r="F225" i="2"/>
  <c r="C226" i="2"/>
  <c r="B226" i="2"/>
  <c r="D226" i="2"/>
  <c r="E226" i="2"/>
  <c r="F226" i="2"/>
  <c r="C227" i="2"/>
  <c r="B227" i="2"/>
  <c r="D227" i="2"/>
  <c r="E227" i="2"/>
  <c r="F227" i="2"/>
  <c r="C228" i="2"/>
  <c r="B228" i="2"/>
  <c r="D228" i="2"/>
  <c r="E228" i="2"/>
  <c r="F228" i="2"/>
  <c r="C229" i="2"/>
  <c r="B229" i="2"/>
  <c r="D229" i="2"/>
  <c r="E229" i="2"/>
  <c r="F229" i="2"/>
  <c r="C230" i="2"/>
  <c r="B230" i="2"/>
  <c r="D230" i="2"/>
  <c r="E230" i="2"/>
  <c r="F230" i="2"/>
  <c r="C231" i="2"/>
  <c r="B231" i="2"/>
  <c r="D231" i="2"/>
  <c r="E231" i="2"/>
  <c r="F231" i="2"/>
  <c r="C232" i="2"/>
  <c r="B232" i="2"/>
  <c r="D232" i="2"/>
  <c r="E232" i="2"/>
  <c r="F232" i="2"/>
  <c r="C233" i="2"/>
  <c r="B233" i="2"/>
  <c r="D233" i="2"/>
  <c r="E233" i="2"/>
  <c r="F233" i="2"/>
  <c r="C234" i="2"/>
  <c r="B234" i="2"/>
  <c r="D234" i="2"/>
  <c r="E234" i="2"/>
  <c r="F234" i="2"/>
  <c r="C235" i="2"/>
  <c r="B235" i="2"/>
  <c r="D235" i="2"/>
  <c r="E235" i="2"/>
  <c r="F235" i="2"/>
  <c r="C236" i="2"/>
  <c r="B236" i="2"/>
  <c r="D236" i="2"/>
  <c r="E236" i="2"/>
  <c r="F236" i="2"/>
  <c r="C237" i="2"/>
  <c r="B237" i="2"/>
  <c r="D237" i="2"/>
  <c r="E237" i="2"/>
  <c r="F237" i="2"/>
  <c r="C238" i="2"/>
  <c r="B238" i="2"/>
  <c r="D238" i="2"/>
  <c r="E238" i="2"/>
  <c r="F238" i="2"/>
  <c r="C239" i="2"/>
  <c r="B239" i="2"/>
  <c r="D239" i="2"/>
  <c r="E239" i="2"/>
  <c r="F239" i="2"/>
  <c r="C240" i="2"/>
  <c r="B240" i="2"/>
  <c r="D240" i="2"/>
  <c r="E240" i="2"/>
  <c r="F240" i="2"/>
  <c r="C241" i="2"/>
  <c r="B241" i="2"/>
  <c r="D241" i="2"/>
  <c r="E241" i="2"/>
  <c r="F241" i="2"/>
  <c r="C242" i="2"/>
  <c r="B242" i="2"/>
  <c r="D242" i="2"/>
  <c r="E242" i="2"/>
  <c r="F242" i="2"/>
  <c r="C243" i="2"/>
  <c r="B243" i="2"/>
  <c r="D243" i="2"/>
  <c r="E243" i="2"/>
  <c r="F243" i="2"/>
  <c r="C244" i="2"/>
  <c r="B244" i="2"/>
  <c r="D244" i="2"/>
  <c r="E244" i="2"/>
  <c r="F244" i="2"/>
  <c r="C245" i="2"/>
  <c r="B245" i="2"/>
  <c r="D245" i="2"/>
  <c r="E245" i="2"/>
  <c r="F245" i="2"/>
  <c r="C246" i="2"/>
  <c r="B246" i="2"/>
  <c r="D246" i="2"/>
  <c r="E246" i="2"/>
  <c r="F246" i="2"/>
  <c r="C247" i="2"/>
  <c r="B247" i="2"/>
  <c r="D247" i="2"/>
  <c r="E247" i="2"/>
  <c r="F247" i="2"/>
  <c r="C248" i="2"/>
  <c r="B248" i="2"/>
  <c r="D248" i="2"/>
  <c r="E248" i="2"/>
  <c r="F248" i="2"/>
  <c r="C249" i="2"/>
  <c r="B249" i="2"/>
  <c r="D249" i="2"/>
  <c r="E249" i="2"/>
  <c r="F249" i="2"/>
  <c r="C250" i="2"/>
  <c r="B250" i="2"/>
  <c r="D250" i="2"/>
  <c r="E250" i="2"/>
  <c r="F250" i="2"/>
  <c r="C251" i="2"/>
  <c r="B251" i="2"/>
  <c r="D251" i="2"/>
  <c r="E251" i="2"/>
  <c r="F251" i="2"/>
  <c r="C252" i="2"/>
  <c r="B252" i="2"/>
  <c r="D252" i="2"/>
  <c r="E252" i="2"/>
  <c r="F252" i="2"/>
  <c r="C253" i="2"/>
  <c r="B253" i="2"/>
  <c r="D253" i="2"/>
  <c r="E253" i="2"/>
  <c r="F253" i="2"/>
  <c r="C254" i="2"/>
  <c r="B254" i="2"/>
  <c r="D254" i="2"/>
  <c r="E254" i="2"/>
  <c r="F254" i="2"/>
  <c r="C255" i="2"/>
  <c r="B255" i="2"/>
  <c r="D255" i="2"/>
  <c r="E255" i="2"/>
  <c r="F255" i="2"/>
  <c r="C256" i="2"/>
  <c r="B256" i="2"/>
  <c r="D256" i="2"/>
  <c r="E256" i="2"/>
  <c r="F256" i="2"/>
  <c r="C257" i="2"/>
  <c r="B257" i="2"/>
  <c r="D257" i="2"/>
  <c r="E257" i="2"/>
  <c r="F257" i="2"/>
  <c r="C258" i="2"/>
  <c r="B258" i="2"/>
  <c r="D258" i="2"/>
  <c r="E258" i="2"/>
  <c r="F258" i="2"/>
  <c r="C259" i="2"/>
  <c r="B259" i="2"/>
  <c r="D259" i="2"/>
  <c r="E259" i="2"/>
  <c r="F259" i="2"/>
  <c r="C260" i="2"/>
  <c r="B260" i="2"/>
  <c r="D260" i="2"/>
  <c r="E260" i="2"/>
  <c r="F260" i="2"/>
  <c r="C261" i="2"/>
  <c r="B261" i="2"/>
  <c r="D261" i="2"/>
  <c r="E261" i="2"/>
  <c r="F261" i="2"/>
  <c r="C262" i="2"/>
  <c r="B262" i="2"/>
  <c r="D262" i="2"/>
  <c r="E262" i="2"/>
  <c r="F262" i="2"/>
  <c r="C263" i="2"/>
  <c r="B263" i="2"/>
  <c r="D263" i="2"/>
  <c r="E263" i="2"/>
  <c r="F263" i="2"/>
  <c r="C264" i="2"/>
  <c r="B264" i="2"/>
  <c r="D264" i="2"/>
  <c r="E264" i="2"/>
  <c r="F264" i="2"/>
  <c r="C265" i="2"/>
  <c r="B265" i="2"/>
  <c r="D265" i="2"/>
  <c r="E265" i="2"/>
  <c r="F265" i="2"/>
  <c r="C266" i="2"/>
  <c r="B266" i="2"/>
  <c r="D266" i="2"/>
  <c r="E266" i="2"/>
  <c r="F266" i="2"/>
  <c r="C267" i="2"/>
  <c r="B267" i="2"/>
  <c r="D267" i="2"/>
  <c r="E267" i="2"/>
  <c r="F267" i="2"/>
  <c r="C268" i="2"/>
  <c r="B268" i="2"/>
  <c r="D268" i="2"/>
  <c r="E268" i="2"/>
  <c r="F268" i="2"/>
  <c r="C269" i="2"/>
  <c r="B269" i="2"/>
  <c r="D269" i="2"/>
  <c r="E269" i="2"/>
  <c r="F269" i="2"/>
  <c r="C270" i="2"/>
  <c r="B270" i="2"/>
  <c r="D270" i="2"/>
  <c r="E270" i="2"/>
  <c r="F270" i="2"/>
  <c r="C271" i="2"/>
  <c r="B271" i="2"/>
  <c r="D271" i="2"/>
  <c r="E271" i="2"/>
  <c r="F271" i="2"/>
  <c r="C272" i="2"/>
  <c r="B272" i="2"/>
  <c r="D272" i="2"/>
  <c r="E272" i="2"/>
  <c r="F272" i="2"/>
  <c r="C273" i="2"/>
  <c r="B273" i="2"/>
  <c r="D273" i="2"/>
  <c r="E273" i="2"/>
  <c r="F273" i="2"/>
  <c r="C274" i="2"/>
  <c r="B274" i="2"/>
  <c r="D274" i="2"/>
  <c r="E274" i="2"/>
  <c r="F274" i="2"/>
  <c r="C275" i="2"/>
  <c r="B275" i="2"/>
  <c r="D275" i="2"/>
  <c r="E275" i="2"/>
  <c r="F275" i="2"/>
  <c r="C276" i="2"/>
  <c r="B276" i="2"/>
  <c r="D276" i="2"/>
  <c r="E276" i="2"/>
  <c r="F276" i="2"/>
  <c r="C277" i="2"/>
  <c r="B277" i="2"/>
  <c r="D277" i="2"/>
  <c r="E277" i="2"/>
  <c r="F277" i="2"/>
  <c r="C278" i="2"/>
  <c r="B278" i="2"/>
  <c r="D278" i="2"/>
  <c r="E278" i="2"/>
  <c r="F278" i="2"/>
  <c r="C279" i="2"/>
  <c r="B279" i="2"/>
  <c r="D279" i="2"/>
  <c r="E279" i="2"/>
  <c r="F279" i="2"/>
  <c r="C280" i="2"/>
  <c r="B280" i="2"/>
  <c r="D280" i="2"/>
  <c r="E280" i="2"/>
  <c r="F280" i="2"/>
  <c r="C281" i="2"/>
  <c r="B281" i="2"/>
  <c r="D281" i="2"/>
  <c r="E281" i="2"/>
  <c r="F281" i="2"/>
  <c r="C282" i="2"/>
  <c r="B282" i="2"/>
  <c r="D282" i="2"/>
  <c r="E282" i="2"/>
  <c r="F282" i="2"/>
  <c r="C283" i="2"/>
  <c r="B283" i="2"/>
  <c r="D283" i="2"/>
  <c r="E283" i="2"/>
  <c r="F283" i="2"/>
  <c r="C284" i="2"/>
  <c r="B284" i="2"/>
  <c r="D284" i="2"/>
  <c r="E284" i="2"/>
  <c r="F284" i="2"/>
  <c r="C285" i="2"/>
  <c r="B285" i="2"/>
  <c r="D285" i="2"/>
  <c r="E285" i="2"/>
  <c r="F285" i="2"/>
  <c r="C286" i="2"/>
  <c r="B286" i="2"/>
  <c r="D286" i="2"/>
  <c r="E286" i="2"/>
  <c r="F286" i="2"/>
  <c r="C287" i="2"/>
  <c r="B287" i="2"/>
  <c r="D287" i="2"/>
  <c r="E287" i="2"/>
  <c r="F287" i="2"/>
  <c r="C288" i="2"/>
  <c r="B288" i="2"/>
  <c r="D288" i="2"/>
  <c r="E288" i="2"/>
  <c r="F288" i="2"/>
  <c r="C289" i="2"/>
  <c r="B289" i="2"/>
  <c r="D289" i="2"/>
  <c r="E289" i="2"/>
  <c r="F289" i="2"/>
  <c r="C290" i="2"/>
  <c r="B290" i="2"/>
  <c r="D290" i="2"/>
  <c r="E290" i="2"/>
  <c r="F290" i="2"/>
  <c r="C291" i="2"/>
  <c r="B291" i="2"/>
  <c r="D291" i="2"/>
  <c r="E291" i="2"/>
  <c r="F291" i="2"/>
  <c r="C292" i="2"/>
  <c r="B292" i="2"/>
  <c r="D292" i="2"/>
  <c r="E292" i="2"/>
  <c r="F292" i="2"/>
  <c r="C293" i="2"/>
  <c r="B293" i="2"/>
  <c r="D293" i="2"/>
  <c r="E293" i="2"/>
  <c r="F293" i="2"/>
  <c r="C294" i="2"/>
  <c r="B294" i="2"/>
  <c r="D294" i="2"/>
  <c r="E294" i="2"/>
  <c r="F294" i="2"/>
  <c r="C295" i="2"/>
  <c r="B295" i="2"/>
  <c r="D295" i="2"/>
  <c r="E295" i="2"/>
  <c r="F295" i="2"/>
  <c r="C296" i="2"/>
  <c r="B296" i="2"/>
  <c r="D296" i="2"/>
  <c r="E296" i="2"/>
  <c r="F296" i="2"/>
  <c r="C297" i="2"/>
  <c r="B297" i="2"/>
  <c r="D297" i="2"/>
  <c r="E297" i="2"/>
  <c r="F297" i="2"/>
  <c r="C298" i="2"/>
  <c r="B298" i="2"/>
  <c r="D298" i="2"/>
  <c r="E298" i="2"/>
  <c r="F298" i="2"/>
  <c r="C299" i="2"/>
  <c r="B299" i="2"/>
  <c r="D299" i="2"/>
  <c r="E299" i="2"/>
  <c r="F299" i="2"/>
  <c r="C300" i="2"/>
  <c r="B300" i="2"/>
  <c r="D300" i="2"/>
  <c r="E300" i="2"/>
  <c r="F300" i="2"/>
  <c r="C301" i="2"/>
  <c r="B301" i="2"/>
  <c r="D301" i="2"/>
  <c r="E301" i="2"/>
  <c r="F301" i="2"/>
  <c r="C302" i="2"/>
  <c r="B302" i="2"/>
  <c r="D302" i="2"/>
  <c r="E302" i="2"/>
  <c r="F302" i="2"/>
  <c r="C303" i="2"/>
  <c r="B303" i="2"/>
  <c r="D303" i="2"/>
  <c r="E303" i="2"/>
  <c r="F303" i="2"/>
  <c r="C304" i="2"/>
  <c r="B304" i="2"/>
  <c r="D304" i="2"/>
  <c r="E304" i="2"/>
  <c r="F304" i="2"/>
  <c r="C305" i="2"/>
  <c r="B305" i="2"/>
  <c r="D305" i="2"/>
  <c r="E305" i="2"/>
  <c r="F305" i="2"/>
  <c r="C306" i="2"/>
  <c r="B306" i="2"/>
  <c r="D306" i="2"/>
  <c r="E306" i="2"/>
  <c r="F306" i="2"/>
  <c r="C307" i="2"/>
  <c r="B307" i="2"/>
  <c r="D307" i="2"/>
  <c r="E307" i="2"/>
  <c r="F307" i="2"/>
  <c r="C308" i="2"/>
  <c r="B308" i="2"/>
  <c r="D308" i="2"/>
  <c r="E308" i="2"/>
  <c r="F308" i="2"/>
  <c r="C309" i="2"/>
  <c r="B309" i="2"/>
  <c r="D309" i="2"/>
  <c r="E309" i="2"/>
  <c r="F309" i="2"/>
  <c r="C310" i="2"/>
  <c r="B310" i="2"/>
  <c r="D310" i="2"/>
  <c r="E310" i="2"/>
  <c r="F310" i="2"/>
  <c r="C311" i="2"/>
  <c r="B311" i="2"/>
  <c r="D311" i="2"/>
  <c r="E311" i="2"/>
  <c r="F311" i="2"/>
  <c r="C312" i="2"/>
  <c r="B312" i="2"/>
  <c r="D312" i="2"/>
  <c r="E312" i="2"/>
  <c r="F312" i="2"/>
  <c r="C313" i="2"/>
  <c r="B313" i="2"/>
  <c r="D313" i="2"/>
  <c r="E313" i="2"/>
  <c r="F313" i="2"/>
  <c r="C314" i="2"/>
  <c r="B314" i="2"/>
  <c r="D314" i="2"/>
  <c r="E314" i="2"/>
  <c r="F314" i="2"/>
  <c r="C315" i="2"/>
  <c r="B315" i="2"/>
  <c r="D315" i="2"/>
  <c r="E315" i="2"/>
  <c r="F315" i="2"/>
  <c r="C316" i="2"/>
  <c r="B316" i="2"/>
  <c r="D316" i="2"/>
  <c r="E316" i="2"/>
  <c r="F316" i="2"/>
  <c r="C317" i="2"/>
  <c r="B317" i="2"/>
  <c r="D317" i="2"/>
  <c r="E317" i="2"/>
  <c r="F317" i="2"/>
  <c r="C318" i="2"/>
  <c r="B318" i="2"/>
  <c r="D318" i="2"/>
  <c r="E318" i="2"/>
  <c r="F318" i="2"/>
  <c r="C319" i="2"/>
  <c r="B319" i="2"/>
  <c r="D319" i="2"/>
  <c r="E319" i="2"/>
  <c r="F319" i="2"/>
  <c r="C320" i="2"/>
  <c r="B320" i="2"/>
  <c r="D320" i="2"/>
  <c r="E320" i="2"/>
  <c r="F320" i="2"/>
  <c r="C321" i="2"/>
  <c r="B321" i="2"/>
  <c r="D321" i="2"/>
  <c r="E321" i="2"/>
  <c r="F321" i="2"/>
  <c r="C322" i="2"/>
  <c r="B322" i="2"/>
  <c r="D322" i="2"/>
  <c r="E322" i="2"/>
  <c r="F322" i="2"/>
  <c r="C323" i="2"/>
  <c r="B323" i="2"/>
  <c r="D323" i="2"/>
  <c r="E323" i="2"/>
  <c r="F323" i="2"/>
  <c r="C324" i="2"/>
  <c r="B324" i="2"/>
  <c r="D324" i="2"/>
  <c r="E324" i="2"/>
  <c r="F324" i="2"/>
  <c r="C325" i="2"/>
  <c r="B325" i="2"/>
  <c r="D325" i="2"/>
  <c r="E325" i="2"/>
  <c r="F325" i="2"/>
  <c r="C326" i="2"/>
  <c r="B326" i="2"/>
  <c r="D326" i="2"/>
  <c r="E326" i="2"/>
  <c r="F326" i="2"/>
  <c r="C327" i="2"/>
  <c r="B327" i="2"/>
  <c r="D327" i="2"/>
  <c r="E327" i="2"/>
  <c r="F327" i="2"/>
  <c r="C328" i="2"/>
  <c r="B328" i="2"/>
  <c r="D328" i="2"/>
  <c r="E328" i="2"/>
  <c r="F328" i="2"/>
  <c r="C329" i="2"/>
  <c r="B329" i="2"/>
  <c r="D329" i="2"/>
  <c r="E329" i="2"/>
  <c r="F329" i="2"/>
  <c r="C330" i="2"/>
  <c r="B330" i="2"/>
  <c r="D330" i="2"/>
  <c r="E330" i="2"/>
  <c r="F330" i="2"/>
  <c r="C331" i="2"/>
  <c r="B331" i="2"/>
  <c r="D331" i="2"/>
  <c r="E331" i="2"/>
  <c r="F331" i="2"/>
  <c r="C332" i="2"/>
  <c r="B332" i="2"/>
  <c r="D332" i="2"/>
  <c r="E332" i="2"/>
  <c r="F332" i="2"/>
  <c r="C333" i="2"/>
  <c r="B333" i="2"/>
  <c r="D333" i="2"/>
  <c r="E333" i="2"/>
  <c r="F333" i="2"/>
  <c r="C334" i="2"/>
  <c r="B334" i="2"/>
  <c r="D334" i="2"/>
  <c r="E334" i="2"/>
  <c r="F334" i="2"/>
  <c r="C335" i="2"/>
  <c r="B335" i="2"/>
  <c r="D335" i="2"/>
  <c r="E335" i="2"/>
  <c r="F335" i="2"/>
  <c r="C336" i="2"/>
  <c r="B336" i="2"/>
  <c r="D336" i="2"/>
  <c r="E336" i="2"/>
  <c r="F336" i="2"/>
  <c r="C337" i="2"/>
  <c r="B337" i="2"/>
  <c r="D337" i="2"/>
  <c r="E337" i="2"/>
  <c r="F337" i="2"/>
  <c r="C338" i="2"/>
  <c r="B338" i="2"/>
  <c r="D338" i="2"/>
  <c r="E338" i="2"/>
  <c r="F338" i="2"/>
  <c r="C339" i="2"/>
  <c r="B339" i="2"/>
  <c r="D339" i="2"/>
  <c r="E339" i="2"/>
  <c r="F339" i="2"/>
  <c r="C340" i="2"/>
  <c r="B340" i="2"/>
  <c r="D340" i="2"/>
  <c r="E340" i="2"/>
  <c r="F340" i="2"/>
  <c r="C341" i="2"/>
  <c r="B341" i="2"/>
  <c r="D341" i="2"/>
  <c r="E341" i="2"/>
  <c r="F341" i="2"/>
  <c r="C342" i="2"/>
  <c r="B342" i="2"/>
  <c r="D342" i="2"/>
  <c r="E342" i="2"/>
  <c r="F342" i="2"/>
  <c r="C343" i="2"/>
  <c r="B343" i="2"/>
  <c r="D343" i="2"/>
  <c r="E343" i="2"/>
  <c r="F343" i="2"/>
  <c r="C344" i="2"/>
  <c r="B344" i="2"/>
  <c r="D344" i="2"/>
  <c r="E344" i="2"/>
  <c r="F344" i="2"/>
  <c r="C345" i="2"/>
  <c r="B345" i="2"/>
  <c r="D345" i="2"/>
  <c r="E345" i="2"/>
  <c r="F345" i="2"/>
  <c r="C346" i="2"/>
  <c r="B346" i="2"/>
  <c r="D346" i="2"/>
  <c r="E346" i="2"/>
  <c r="F346" i="2"/>
  <c r="C347" i="2"/>
  <c r="B347" i="2"/>
  <c r="D347" i="2"/>
  <c r="E347" i="2"/>
  <c r="F347" i="2"/>
  <c r="C348" i="2"/>
  <c r="B348" i="2"/>
  <c r="D348" i="2"/>
  <c r="E348" i="2"/>
  <c r="F348" i="2"/>
  <c r="C349" i="2"/>
  <c r="B349" i="2"/>
  <c r="D349" i="2"/>
  <c r="E349" i="2"/>
  <c r="F349" i="2"/>
  <c r="C350" i="2"/>
  <c r="B350" i="2"/>
  <c r="D350" i="2"/>
  <c r="E350" i="2"/>
  <c r="F350" i="2"/>
  <c r="C351" i="2"/>
  <c r="B351" i="2"/>
  <c r="D351" i="2"/>
  <c r="E351" i="2"/>
  <c r="F351" i="2"/>
  <c r="C352" i="2"/>
  <c r="B352" i="2"/>
  <c r="D352" i="2"/>
  <c r="E352" i="2"/>
  <c r="F352" i="2"/>
  <c r="C353" i="2"/>
  <c r="B353" i="2"/>
  <c r="D353" i="2"/>
  <c r="E353" i="2"/>
  <c r="F353" i="2"/>
  <c r="C354" i="2"/>
  <c r="B354" i="2"/>
  <c r="D354" i="2"/>
  <c r="E354" i="2"/>
  <c r="F354" i="2"/>
  <c r="C355" i="2"/>
  <c r="B355" i="2"/>
  <c r="D355" i="2"/>
  <c r="E355" i="2"/>
  <c r="F355" i="2"/>
  <c r="C356" i="2"/>
  <c r="B356" i="2"/>
  <c r="D356" i="2"/>
  <c r="E356" i="2"/>
  <c r="F356" i="2"/>
  <c r="C357" i="2"/>
  <c r="B357" i="2"/>
  <c r="D357" i="2"/>
  <c r="E357" i="2"/>
  <c r="F357" i="2"/>
  <c r="C358" i="2"/>
  <c r="B358" i="2"/>
  <c r="D358" i="2"/>
  <c r="E358" i="2"/>
  <c r="F358" i="2"/>
  <c r="C359" i="2"/>
  <c r="B359" i="2"/>
  <c r="D359" i="2"/>
  <c r="E359" i="2"/>
  <c r="F359" i="2"/>
  <c r="C360" i="2"/>
  <c r="B360" i="2"/>
  <c r="D360" i="2"/>
  <c r="E360" i="2"/>
  <c r="F360" i="2"/>
  <c r="C361" i="2"/>
  <c r="B361" i="2"/>
  <c r="D361" i="2"/>
  <c r="E361" i="2"/>
  <c r="F361" i="2"/>
  <c r="C362" i="2"/>
  <c r="B362" i="2"/>
  <c r="D362" i="2"/>
  <c r="E362" i="2"/>
  <c r="F362" i="2"/>
  <c r="C363" i="2"/>
  <c r="B363" i="2"/>
  <c r="D363" i="2"/>
  <c r="E363" i="2"/>
  <c r="F363" i="2"/>
  <c r="C364" i="2"/>
  <c r="B364" i="2"/>
  <c r="D364" i="2"/>
  <c r="E364" i="2"/>
  <c r="F364" i="2"/>
  <c r="C365" i="2"/>
  <c r="B365" i="2"/>
  <c r="D365" i="2"/>
  <c r="E365" i="2"/>
  <c r="F365" i="2"/>
  <c r="C366" i="2"/>
  <c r="B366" i="2"/>
  <c r="D366" i="2"/>
  <c r="E366" i="2"/>
  <c r="F366" i="2"/>
  <c r="C367" i="2"/>
  <c r="B367" i="2"/>
  <c r="D367" i="2"/>
  <c r="E367" i="2"/>
  <c r="F367" i="2"/>
  <c r="C368" i="2"/>
  <c r="B368" i="2"/>
  <c r="D368" i="2"/>
  <c r="E368" i="2"/>
  <c r="F368" i="2"/>
  <c r="C369" i="2"/>
  <c r="B369" i="2"/>
  <c r="D369" i="2"/>
  <c r="E369" i="2"/>
  <c r="F369" i="2"/>
  <c r="C370" i="2"/>
  <c r="B370" i="2"/>
  <c r="D370" i="2"/>
  <c r="E370" i="2"/>
  <c r="F370" i="2"/>
  <c r="C371" i="2"/>
  <c r="B371" i="2"/>
  <c r="D371" i="2"/>
  <c r="E371" i="2"/>
  <c r="F371" i="2"/>
  <c r="C372" i="2"/>
  <c r="B372" i="2"/>
  <c r="D372" i="2"/>
  <c r="E372" i="2"/>
  <c r="F372" i="2"/>
  <c r="C373" i="2"/>
  <c r="B373" i="2"/>
  <c r="D373" i="2"/>
  <c r="E373" i="2"/>
  <c r="F373" i="2"/>
  <c r="C374" i="2"/>
  <c r="B374" i="2"/>
  <c r="D374" i="2"/>
  <c r="E374" i="2"/>
  <c r="F374" i="2"/>
  <c r="C375" i="2"/>
  <c r="B375" i="2"/>
  <c r="D375" i="2"/>
  <c r="E375" i="2"/>
  <c r="F375" i="2"/>
  <c r="C376" i="2"/>
  <c r="B376" i="2"/>
  <c r="D376" i="2"/>
  <c r="E376" i="2"/>
  <c r="F376" i="2"/>
  <c r="C377" i="2"/>
  <c r="B377" i="2"/>
  <c r="D377" i="2"/>
  <c r="E377" i="2"/>
  <c r="F377" i="2"/>
  <c r="C378" i="2"/>
  <c r="B378" i="2"/>
  <c r="D378" i="2"/>
  <c r="E378" i="2"/>
  <c r="F378" i="2"/>
  <c r="C379" i="2"/>
  <c r="B379" i="2"/>
  <c r="D379" i="2"/>
  <c r="E379" i="2"/>
  <c r="F379" i="2"/>
  <c r="C380" i="2"/>
  <c r="B380" i="2"/>
  <c r="D380" i="2"/>
  <c r="E380" i="2"/>
  <c r="F380" i="2"/>
  <c r="C381" i="2"/>
  <c r="B381" i="2"/>
  <c r="D381" i="2"/>
  <c r="E381" i="2"/>
  <c r="F381" i="2"/>
  <c r="C382" i="2"/>
  <c r="B382" i="2"/>
  <c r="D382" i="2"/>
  <c r="E382" i="2"/>
  <c r="F382" i="2"/>
  <c r="C383" i="2"/>
  <c r="B383" i="2"/>
  <c r="D383" i="2"/>
  <c r="E383" i="2"/>
  <c r="F383" i="2"/>
  <c r="C384" i="2"/>
  <c r="B384" i="2"/>
  <c r="D384" i="2"/>
  <c r="E384" i="2"/>
  <c r="F384" i="2"/>
  <c r="C385" i="2"/>
  <c r="B385" i="2"/>
  <c r="D385" i="2"/>
  <c r="E385" i="2"/>
  <c r="F385" i="2"/>
  <c r="C386" i="2"/>
  <c r="B386" i="2"/>
  <c r="D386" i="2"/>
  <c r="E386" i="2"/>
  <c r="F386" i="2"/>
  <c r="C387" i="2"/>
  <c r="B387" i="2"/>
  <c r="D387" i="2"/>
  <c r="E387" i="2"/>
  <c r="F387" i="2"/>
  <c r="C388" i="2"/>
  <c r="B388" i="2"/>
  <c r="D388" i="2"/>
  <c r="E388" i="2"/>
  <c r="F388" i="2"/>
  <c r="C389" i="2"/>
  <c r="B389" i="2"/>
  <c r="D389" i="2"/>
  <c r="E389" i="2"/>
  <c r="F389" i="2"/>
  <c r="C390" i="2"/>
  <c r="B390" i="2"/>
  <c r="D390" i="2"/>
  <c r="E390" i="2"/>
  <c r="F390" i="2"/>
  <c r="C391" i="2"/>
  <c r="B391" i="2"/>
  <c r="D391" i="2"/>
  <c r="E391" i="2"/>
  <c r="F391" i="2"/>
  <c r="C392" i="2"/>
  <c r="B392" i="2"/>
  <c r="D392" i="2"/>
  <c r="E392" i="2"/>
  <c r="F392" i="2"/>
  <c r="C393" i="2"/>
  <c r="B393" i="2"/>
  <c r="D393" i="2"/>
  <c r="E393" i="2"/>
  <c r="F393" i="2"/>
  <c r="C394" i="2"/>
  <c r="B394" i="2"/>
  <c r="D394" i="2"/>
  <c r="E394" i="2"/>
  <c r="F394" i="2"/>
  <c r="C395" i="2"/>
  <c r="B395" i="2"/>
  <c r="D395" i="2"/>
  <c r="E395" i="2"/>
  <c r="F395" i="2"/>
  <c r="C396" i="2"/>
  <c r="B396" i="2"/>
  <c r="D396" i="2"/>
  <c r="E396" i="2"/>
  <c r="F396" i="2"/>
  <c r="C397" i="2"/>
  <c r="B397" i="2"/>
  <c r="D397" i="2"/>
  <c r="E397" i="2"/>
  <c r="F397" i="2"/>
  <c r="C398" i="2"/>
  <c r="B398" i="2"/>
  <c r="D398" i="2"/>
  <c r="E398" i="2"/>
  <c r="F398" i="2"/>
  <c r="C399" i="2"/>
  <c r="B399" i="2"/>
  <c r="D399" i="2"/>
  <c r="E399" i="2"/>
  <c r="F399" i="2"/>
  <c r="C400" i="2"/>
  <c r="B400" i="2"/>
  <c r="D400" i="2"/>
  <c r="E400" i="2"/>
  <c r="F400" i="2"/>
  <c r="C401" i="2"/>
  <c r="B401" i="2"/>
  <c r="D401" i="2"/>
  <c r="E401" i="2"/>
  <c r="F401" i="2"/>
  <c r="C402" i="2"/>
  <c r="B402" i="2"/>
  <c r="D402" i="2"/>
  <c r="E402" i="2"/>
  <c r="F402" i="2"/>
  <c r="C403" i="2"/>
  <c r="B403" i="2"/>
  <c r="D403" i="2"/>
  <c r="E403" i="2"/>
  <c r="F403" i="2"/>
  <c r="C404" i="2"/>
  <c r="B404" i="2"/>
  <c r="D404" i="2"/>
  <c r="E404" i="2"/>
  <c r="F404" i="2"/>
  <c r="C405" i="2"/>
  <c r="B405" i="2"/>
  <c r="D405" i="2"/>
  <c r="E405" i="2"/>
  <c r="F405" i="2"/>
  <c r="C406" i="2"/>
  <c r="B406" i="2"/>
  <c r="D406" i="2"/>
  <c r="E406" i="2"/>
  <c r="F406" i="2"/>
  <c r="C407" i="2"/>
  <c r="B407" i="2"/>
  <c r="D407" i="2"/>
  <c r="E407" i="2"/>
  <c r="F407" i="2"/>
  <c r="C408" i="2"/>
  <c r="B408" i="2"/>
  <c r="D408" i="2"/>
  <c r="E408" i="2"/>
  <c r="F408" i="2"/>
  <c r="C409" i="2"/>
  <c r="B409" i="2"/>
  <c r="D409" i="2"/>
  <c r="E409" i="2"/>
  <c r="F409" i="2"/>
  <c r="C410" i="2"/>
  <c r="B410" i="2"/>
  <c r="D410" i="2"/>
  <c r="E410" i="2"/>
  <c r="F410" i="2"/>
  <c r="C411" i="2"/>
  <c r="B411" i="2"/>
  <c r="D411" i="2"/>
  <c r="E411" i="2"/>
  <c r="F411" i="2"/>
  <c r="C412" i="2"/>
  <c r="B412" i="2"/>
  <c r="D412" i="2"/>
  <c r="E412" i="2"/>
  <c r="F412" i="2"/>
  <c r="C413" i="2"/>
  <c r="B413" i="2"/>
  <c r="D413" i="2"/>
  <c r="E413" i="2"/>
  <c r="F413" i="2"/>
  <c r="C414" i="2"/>
  <c r="B414" i="2"/>
  <c r="D414" i="2"/>
  <c r="E414" i="2"/>
  <c r="F414" i="2"/>
  <c r="C415" i="2"/>
  <c r="B415" i="2"/>
  <c r="D415" i="2"/>
  <c r="E415" i="2"/>
  <c r="F415" i="2"/>
  <c r="C416" i="2"/>
  <c r="B416" i="2"/>
  <c r="D416" i="2"/>
  <c r="E416" i="2"/>
  <c r="F416" i="2"/>
  <c r="C417" i="2"/>
  <c r="B417" i="2"/>
  <c r="D417" i="2"/>
  <c r="E417" i="2"/>
  <c r="F417" i="2"/>
  <c r="C418" i="2"/>
  <c r="B418" i="2"/>
  <c r="D418" i="2"/>
  <c r="E418" i="2"/>
  <c r="F418" i="2"/>
  <c r="C419" i="2"/>
  <c r="B419" i="2"/>
  <c r="D419" i="2"/>
  <c r="E419" i="2"/>
  <c r="F419" i="2"/>
  <c r="C420" i="2"/>
  <c r="B420" i="2"/>
  <c r="D420" i="2"/>
  <c r="E420" i="2"/>
  <c r="F420" i="2"/>
  <c r="C421" i="2"/>
  <c r="B421" i="2"/>
  <c r="D421" i="2"/>
  <c r="E421" i="2"/>
  <c r="F421" i="2"/>
  <c r="C422" i="2"/>
  <c r="B422" i="2"/>
  <c r="D422" i="2"/>
  <c r="E422" i="2"/>
  <c r="F422" i="2"/>
  <c r="C423" i="2"/>
  <c r="B423" i="2"/>
  <c r="D423" i="2"/>
  <c r="E423" i="2"/>
  <c r="F423" i="2"/>
  <c r="C424" i="2"/>
  <c r="B424" i="2"/>
  <c r="D424" i="2"/>
  <c r="E424" i="2"/>
  <c r="F424" i="2"/>
  <c r="C425" i="2"/>
  <c r="B425" i="2"/>
  <c r="D425" i="2"/>
  <c r="E425" i="2"/>
  <c r="F425" i="2"/>
  <c r="C426" i="2"/>
  <c r="B426" i="2"/>
  <c r="D426" i="2"/>
  <c r="E426" i="2"/>
  <c r="F426" i="2"/>
  <c r="C427" i="2"/>
  <c r="B427" i="2"/>
  <c r="D427" i="2"/>
  <c r="E427" i="2"/>
  <c r="F427" i="2"/>
  <c r="C428" i="2"/>
  <c r="B428" i="2"/>
  <c r="D428" i="2"/>
  <c r="E428" i="2"/>
  <c r="F428" i="2"/>
  <c r="C429" i="2"/>
  <c r="B429" i="2"/>
  <c r="D429" i="2"/>
  <c r="E429" i="2"/>
  <c r="F429" i="2"/>
  <c r="C430" i="2"/>
  <c r="B430" i="2"/>
  <c r="D430" i="2"/>
  <c r="E430" i="2"/>
  <c r="F430" i="2"/>
  <c r="C431" i="2"/>
  <c r="B431" i="2"/>
  <c r="D431" i="2"/>
  <c r="E431" i="2"/>
  <c r="F431" i="2"/>
  <c r="C432" i="2"/>
  <c r="B432" i="2"/>
  <c r="D432" i="2"/>
  <c r="E432" i="2"/>
  <c r="F432" i="2"/>
  <c r="C433" i="2"/>
  <c r="B433" i="2"/>
  <c r="D433" i="2"/>
  <c r="E433" i="2"/>
  <c r="F433" i="2"/>
  <c r="C434" i="2"/>
  <c r="B434" i="2"/>
  <c r="D434" i="2"/>
  <c r="E434" i="2"/>
  <c r="F434" i="2"/>
  <c r="C435" i="2"/>
  <c r="B435" i="2"/>
  <c r="D435" i="2"/>
  <c r="E435" i="2"/>
  <c r="F435" i="2"/>
  <c r="C436" i="2"/>
  <c r="B436" i="2"/>
  <c r="D436" i="2"/>
  <c r="E436" i="2"/>
  <c r="F436" i="2"/>
  <c r="C437" i="2"/>
  <c r="B437" i="2"/>
  <c r="D437" i="2"/>
  <c r="E437" i="2"/>
  <c r="F437" i="2"/>
  <c r="C438" i="2"/>
  <c r="B438" i="2"/>
  <c r="D438" i="2"/>
  <c r="E438" i="2"/>
  <c r="F438" i="2"/>
  <c r="C439" i="2"/>
  <c r="B439" i="2"/>
  <c r="D439" i="2"/>
  <c r="E439" i="2"/>
  <c r="F439" i="2"/>
  <c r="C440" i="2"/>
  <c r="B440" i="2"/>
  <c r="D440" i="2"/>
  <c r="E440" i="2"/>
  <c r="F440" i="2"/>
  <c r="C441" i="2"/>
  <c r="B441" i="2"/>
  <c r="D441" i="2"/>
  <c r="E441" i="2"/>
  <c r="F441" i="2"/>
  <c r="C442" i="2"/>
  <c r="B442" i="2"/>
  <c r="D442" i="2"/>
  <c r="E442" i="2"/>
  <c r="F442" i="2"/>
  <c r="C443" i="2"/>
  <c r="B443" i="2"/>
  <c r="D443" i="2"/>
  <c r="E443" i="2"/>
  <c r="F443" i="2"/>
  <c r="C444" i="2"/>
  <c r="B444" i="2"/>
  <c r="D444" i="2"/>
  <c r="E444" i="2"/>
  <c r="F444" i="2"/>
  <c r="C445" i="2"/>
  <c r="B445" i="2"/>
  <c r="D445" i="2"/>
  <c r="E445" i="2"/>
  <c r="F445" i="2"/>
  <c r="C446" i="2"/>
  <c r="B446" i="2"/>
  <c r="D446" i="2"/>
  <c r="E446" i="2"/>
  <c r="F446" i="2"/>
  <c r="C447" i="2"/>
  <c r="B447" i="2"/>
  <c r="D447" i="2"/>
  <c r="E447" i="2"/>
  <c r="F447" i="2"/>
  <c r="C448" i="2"/>
  <c r="B448" i="2"/>
  <c r="D448" i="2"/>
  <c r="E448" i="2"/>
  <c r="F448" i="2"/>
  <c r="C449" i="2"/>
  <c r="B449" i="2"/>
  <c r="D449" i="2"/>
  <c r="E449" i="2"/>
  <c r="F449" i="2"/>
  <c r="C450" i="2"/>
  <c r="B450" i="2"/>
  <c r="D450" i="2"/>
  <c r="E450" i="2"/>
  <c r="F450" i="2"/>
  <c r="C451" i="2"/>
  <c r="B451" i="2"/>
  <c r="D451" i="2"/>
  <c r="E451" i="2"/>
  <c r="F451" i="2"/>
  <c r="C452" i="2"/>
  <c r="B452" i="2"/>
  <c r="D452" i="2"/>
  <c r="E452" i="2"/>
  <c r="F452" i="2"/>
  <c r="C453" i="2"/>
  <c r="B453" i="2"/>
  <c r="D453" i="2"/>
  <c r="E453" i="2"/>
  <c r="F453" i="2"/>
  <c r="C454" i="2"/>
  <c r="B454" i="2"/>
  <c r="D454" i="2"/>
  <c r="E454" i="2"/>
  <c r="F454" i="2"/>
  <c r="C455" i="2"/>
  <c r="B455" i="2"/>
  <c r="D455" i="2"/>
  <c r="E455" i="2"/>
  <c r="F455" i="2"/>
  <c r="C456" i="2"/>
  <c r="B456" i="2"/>
  <c r="D456" i="2"/>
  <c r="E456" i="2"/>
  <c r="F456" i="2"/>
  <c r="C457" i="2"/>
  <c r="B457" i="2"/>
  <c r="D457" i="2"/>
  <c r="E457" i="2"/>
  <c r="F457" i="2"/>
  <c r="C458" i="2"/>
  <c r="B458" i="2"/>
  <c r="D458" i="2"/>
  <c r="E458" i="2"/>
  <c r="F458" i="2"/>
  <c r="C459" i="2"/>
  <c r="B459" i="2"/>
  <c r="D459" i="2"/>
  <c r="E459" i="2"/>
  <c r="F459" i="2"/>
  <c r="C460" i="2"/>
  <c r="B460" i="2"/>
  <c r="D460" i="2"/>
  <c r="E460" i="2"/>
  <c r="F460" i="2"/>
  <c r="C461" i="2"/>
  <c r="B461" i="2"/>
  <c r="D461" i="2"/>
  <c r="E461" i="2"/>
  <c r="F461" i="2"/>
  <c r="C462" i="2"/>
  <c r="B462" i="2"/>
  <c r="D462" i="2"/>
  <c r="E462" i="2"/>
  <c r="F462" i="2"/>
  <c r="C463" i="2"/>
  <c r="B463" i="2"/>
  <c r="D463" i="2"/>
  <c r="E463" i="2"/>
  <c r="F463" i="2"/>
  <c r="C464" i="2"/>
  <c r="B464" i="2"/>
  <c r="D464" i="2"/>
  <c r="E464" i="2"/>
  <c r="F464" i="2"/>
  <c r="C465" i="2"/>
  <c r="B465" i="2"/>
  <c r="D465" i="2"/>
  <c r="E465" i="2"/>
  <c r="F465" i="2"/>
  <c r="C466" i="2"/>
  <c r="B466" i="2"/>
  <c r="D466" i="2"/>
  <c r="E466" i="2"/>
  <c r="F466" i="2"/>
  <c r="C467" i="2"/>
  <c r="B467" i="2"/>
  <c r="D467" i="2"/>
  <c r="E467" i="2"/>
  <c r="F467" i="2"/>
  <c r="C468" i="2"/>
  <c r="B468" i="2"/>
  <c r="D468" i="2"/>
  <c r="E468" i="2"/>
  <c r="F468" i="2"/>
  <c r="C469" i="2"/>
  <c r="B469" i="2"/>
  <c r="D469" i="2"/>
  <c r="E469" i="2"/>
  <c r="F469" i="2"/>
  <c r="C470" i="2"/>
  <c r="B470" i="2"/>
  <c r="D470" i="2"/>
  <c r="E470" i="2"/>
  <c r="F470" i="2"/>
  <c r="C471" i="2"/>
  <c r="B471" i="2"/>
  <c r="D471" i="2"/>
  <c r="E471" i="2"/>
  <c r="F471" i="2"/>
  <c r="C472" i="2"/>
  <c r="B472" i="2"/>
  <c r="D472" i="2"/>
  <c r="E472" i="2"/>
  <c r="F472" i="2"/>
  <c r="C473" i="2"/>
  <c r="B473" i="2"/>
  <c r="D473" i="2"/>
  <c r="E473" i="2"/>
  <c r="F473" i="2"/>
  <c r="C474" i="2"/>
  <c r="B474" i="2"/>
  <c r="D474" i="2"/>
  <c r="E474" i="2"/>
  <c r="F474" i="2"/>
  <c r="C475" i="2"/>
  <c r="B475" i="2"/>
  <c r="D475" i="2"/>
  <c r="E475" i="2"/>
  <c r="F475" i="2"/>
  <c r="C476" i="2"/>
  <c r="B476" i="2"/>
  <c r="D476" i="2"/>
  <c r="E476" i="2"/>
  <c r="F476" i="2"/>
  <c r="C477" i="2"/>
  <c r="B477" i="2"/>
  <c r="D477" i="2"/>
  <c r="E477" i="2"/>
  <c r="F477" i="2"/>
  <c r="C478" i="2"/>
  <c r="B478" i="2"/>
  <c r="D478" i="2"/>
  <c r="E478" i="2"/>
  <c r="F478" i="2"/>
  <c r="C479" i="2"/>
  <c r="B479" i="2"/>
  <c r="D479" i="2"/>
  <c r="E479" i="2"/>
  <c r="F479" i="2"/>
  <c r="C480" i="2"/>
  <c r="B480" i="2"/>
  <c r="D480" i="2"/>
  <c r="E480" i="2"/>
  <c r="F480" i="2"/>
  <c r="C481" i="2"/>
  <c r="B481" i="2"/>
  <c r="D481" i="2"/>
  <c r="E481" i="2"/>
  <c r="F481" i="2"/>
  <c r="C482" i="2"/>
  <c r="B482" i="2"/>
  <c r="D482" i="2"/>
  <c r="E482" i="2"/>
  <c r="F482" i="2"/>
  <c r="C483" i="2"/>
  <c r="B483" i="2"/>
  <c r="D483" i="2"/>
  <c r="E483" i="2"/>
  <c r="F483" i="2"/>
  <c r="C484" i="2"/>
  <c r="B484" i="2"/>
  <c r="D484" i="2"/>
  <c r="E484" i="2"/>
  <c r="F484" i="2"/>
  <c r="C485" i="2"/>
  <c r="B485" i="2"/>
  <c r="D485" i="2"/>
  <c r="E485" i="2"/>
  <c r="F485" i="2"/>
  <c r="C486" i="2"/>
  <c r="B486" i="2"/>
  <c r="D486" i="2"/>
  <c r="E486" i="2"/>
  <c r="F486" i="2"/>
  <c r="C487" i="2"/>
  <c r="B487" i="2"/>
  <c r="D487" i="2"/>
  <c r="E487" i="2"/>
  <c r="F487" i="2"/>
  <c r="C488" i="2"/>
  <c r="B488" i="2"/>
  <c r="D488" i="2"/>
  <c r="E488" i="2"/>
  <c r="F488" i="2"/>
  <c r="C489" i="2"/>
  <c r="B489" i="2"/>
  <c r="D489" i="2"/>
  <c r="E489" i="2"/>
  <c r="F489" i="2"/>
  <c r="C490" i="2"/>
  <c r="B490" i="2"/>
  <c r="D490" i="2"/>
  <c r="E490" i="2"/>
  <c r="F490" i="2"/>
  <c r="C491" i="2"/>
  <c r="B491" i="2"/>
  <c r="D491" i="2"/>
  <c r="E491" i="2"/>
  <c r="F491" i="2"/>
  <c r="C492" i="2"/>
  <c r="B492" i="2"/>
  <c r="D492" i="2"/>
  <c r="E492" i="2"/>
  <c r="F492" i="2"/>
  <c r="C493" i="2"/>
  <c r="B493" i="2"/>
  <c r="D493" i="2"/>
  <c r="E493" i="2"/>
  <c r="F493" i="2"/>
  <c r="C494" i="2"/>
  <c r="B494" i="2"/>
  <c r="D494" i="2"/>
  <c r="E494" i="2"/>
  <c r="F494" i="2"/>
  <c r="C495" i="2"/>
  <c r="B495" i="2"/>
  <c r="D495" i="2"/>
  <c r="E495" i="2"/>
  <c r="F495" i="2"/>
  <c r="C496" i="2"/>
  <c r="B496" i="2"/>
  <c r="D496" i="2"/>
  <c r="E496" i="2"/>
  <c r="F496" i="2"/>
  <c r="C497" i="2"/>
  <c r="B497" i="2"/>
  <c r="D497" i="2"/>
  <c r="E497" i="2"/>
  <c r="F497" i="2"/>
  <c r="C498" i="2"/>
  <c r="B498" i="2"/>
  <c r="D498" i="2"/>
  <c r="E498" i="2"/>
  <c r="F498" i="2"/>
  <c r="C499" i="2"/>
  <c r="B499" i="2"/>
  <c r="D499" i="2"/>
  <c r="E499" i="2"/>
  <c r="F499" i="2"/>
  <c r="C500" i="2"/>
  <c r="B500" i="2"/>
  <c r="D500" i="2"/>
  <c r="E500" i="2"/>
  <c r="F500" i="2"/>
  <c r="C501" i="2"/>
  <c r="B501" i="2"/>
  <c r="D501" i="2"/>
  <c r="E501" i="2"/>
  <c r="F501" i="2"/>
  <c r="C502" i="2"/>
  <c r="B502" i="2"/>
  <c r="D502" i="2"/>
  <c r="E502" i="2"/>
  <c r="F502" i="2"/>
  <c r="C503" i="2"/>
  <c r="B503" i="2"/>
  <c r="D503" i="2"/>
  <c r="E503" i="2"/>
  <c r="F503" i="2"/>
  <c r="C504" i="2"/>
  <c r="B504" i="2"/>
  <c r="D504" i="2"/>
  <c r="E504" i="2"/>
  <c r="F504" i="2"/>
  <c r="C505" i="2"/>
  <c r="B505" i="2"/>
  <c r="D505" i="2"/>
  <c r="E505" i="2"/>
  <c r="F505" i="2"/>
  <c r="C506" i="2"/>
  <c r="B506" i="2"/>
  <c r="D506" i="2"/>
  <c r="E506" i="2"/>
  <c r="F506" i="2"/>
  <c r="C507" i="2"/>
  <c r="B507" i="2"/>
  <c r="D507" i="2"/>
  <c r="E507" i="2"/>
  <c r="F507" i="2"/>
  <c r="C508" i="2"/>
  <c r="B508" i="2"/>
  <c r="D508" i="2"/>
  <c r="E508" i="2"/>
  <c r="F508" i="2"/>
  <c r="C509" i="2"/>
  <c r="B509" i="2"/>
  <c r="D509" i="2"/>
  <c r="E509" i="2"/>
  <c r="F509" i="2"/>
  <c r="C510" i="2"/>
  <c r="B510" i="2"/>
  <c r="D510" i="2"/>
  <c r="E510" i="2"/>
  <c r="F510" i="2"/>
  <c r="C511" i="2"/>
  <c r="B511" i="2"/>
  <c r="D511" i="2"/>
  <c r="E511" i="2"/>
  <c r="F511" i="2"/>
  <c r="C512" i="2"/>
  <c r="B512" i="2"/>
  <c r="D512" i="2"/>
  <c r="E512" i="2"/>
  <c r="F512" i="2"/>
  <c r="C513" i="2"/>
  <c r="B513" i="2"/>
  <c r="D513" i="2"/>
  <c r="E513" i="2"/>
  <c r="F513" i="2"/>
  <c r="C514" i="2"/>
  <c r="B514" i="2"/>
  <c r="D514" i="2"/>
  <c r="E514" i="2"/>
  <c r="F514" i="2"/>
  <c r="C515" i="2"/>
  <c r="B515" i="2"/>
  <c r="D515" i="2"/>
  <c r="E515" i="2"/>
  <c r="F515" i="2"/>
  <c r="C516" i="2"/>
  <c r="B516" i="2"/>
  <c r="D516" i="2"/>
  <c r="E516" i="2"/>
  <c r="F516" i="2"/>
  <c r="C517" i="2"/>
  <c r="B517" i="2"/>
  <c r="D517" i="2"/>
  <c r="E517" i="2"/>
  <c r="F517" i="2"/>
  <c r="C518" i="2"/>
  <c r="B518" i="2"/>
  <c r="D518" i="2"/>
  <c r="E518" i="2"/>
  <c r="F518" i="2"/>
  <c r="C519" i="2"/>
  <c r="B519" i="2"/>
  <c r="D519" i="2"/>
  <c r="E519" i="2"/>
  <c r="F519" i="2"/>
  <c r="C520" i="2"/>
  <c r="B520" i="2"/>
  <c r="D520" i="2"/>
  <c r="E520" i="2"/>
  <c r="F520" i="2"/>
  <c r="C521" i="2"/>
  <c r="B521" i="2"/>
  <c r="D521" i="2"/>
  <c r="E521" i="2"/>
  <c r="F521" i="2"/>
  <c r="C522" i="2"/>
  <c r="B522" i="2"/>
  <c r="D522" i="2"/>
  <c r="E522" i="2"/>
  <c r="F522" i="2"/>
  <c r="C523" i="2"/>
  <c r="B523" i="2"/>
  <c r="D523" i="2"/>
  <c r="E523" i="2"/>
  <c r="F523" i="2"/>
  <c r="C524" i="2"/>
  <c r="B524" i="2"/>
  <c r="D524" i="2"/>
  <c r="E524" i="2"/>
  <c r="F524" i="2"/>
  <c r="C525" i="2"/>
  <c r="B525" i="2"/>
  <c r="D525" i="2"/>
  <c r="E525" i="2"/>
  <c r="F525" i="2"/>
  <c r="C526" i="2"/>
  <c r="B526" i="2"/>
  <c r="D526" i="2"/>
  <c r="E526" i="2"/>
  <c r="F526" i="2"/>
  <c r="C527" i="2"/>
  <c r="B527" i="2"/>
  <c r="D527" i="2"/>
  <c r="E527" i="2"/>
  <c r="F527" i="2"/>
  <c r="C528" i="2"/>
  <c r="B528" i="2"/>
  <c r="D528" i="2"/>
  <c r="E528" i="2"/>
  <c r="F528" i="2"/>
  <c r="C529" i="2"/>
  <c r="B529" i="2"/>
  <c r="D529" i="2"/>
  <c r="E529" i="2"/>
  <c r="F529" i="2"/>
  <c r="C530" i="2"/>
  <c r="B530" i="2"/>
  <c r="D530" i="2"/>
  <c r="E530" i="2"/>
  <c r="F530" i="2"/>
  <c r="C531" i="2"/>
  <c r="B531" i="2"/>
  <c r="D531" i="2"/>
  <c r="E531" i="2"/>
  <c r="F531" i="2"/>
  <c r="C532" i="2"/>
  <c r="B532" i="2"/>
  <c r="D532" i="2"/>
  <c r="E532" i="2"/>
  <c r="F532" i="2"/>
  <c r="C533" i="2"/>
  <c r="B533" i="2"/>
  <c r="D533" i="2"/>
  <c r="E533" i="2"/>
  <c r="F533" i="2"/>
  <c r="C534" i="2"/>
  <c r="B534" i="2"/>
  <c r="D534" i="2"/>
  <c r="E534" i="2"/>
  <c r="F534" i="2"/>
  <c r="C535" i="2"/>
  <c r="B535" i="2"/>
  <c r="D535" i="2"/>
  <c r="E535" i="2"/>
  <c r="F535" i="2"/>
  <c r="C536" i="2"/>
  <c r="B536" i="2"/>
  <c r="D536" i="2"/>
  <c r="E536" i="2"/>
  <c r="F536" i="2"/>
  <c r="C537" i="2"/>
  <c r="B537" i="2"/>
  <c r="D537" i="2"/>
  <c r="E537" i="2"/>
  <c r="F537" i="2"/>
  <c r="C538" i="2"/>
  <c r="B538" i="2"/>
  <c r="D538" i="2"/>
  <c r="E538" i="2"/>
  <c r="F538" i="2"/>
  <c r="C539" i="2"/>
  <c r="B539" i="2"/>
  <c r="D539" i="2"/>
  <c r="E539" i="2"/>
  <c r="F539" i="2"/>
  <c r="C540" i="2"/>
  <c r="B540" i="2"/>
  <c r="D540" i="2"/>
  <c r="E540" i="2"/>
  <c r="F540" i="2"/>
  <c r="C541" i="2"/>
  <c r="B541" i="2"/>
  <c r="D541" i="2"/>
  <c r="E541" i="2"/>
  <c r="F541" i="2"/>
  <c r="C542" i="2"/>
  <c r="B542" i="2"/>
  <c r="D542" i="2"/>
  <c r="E542" i="2"/>
  <c r="F542" i="2"/>
  <c r="C543" i="2"/>
  <c r="B543" i="2"/>
  <c r="D543" i="2"/>
  <c r="E543" i="2"/>
  <c r="F543" i="2"/>
  <c r="C544" i="2"/>
  <c r="B544" i="2"/>
  <c r="D544" i="2"/>
  <c r="E544" i="2"/>
  <c r="F544" i="2"/>
  <c r="C545" i="2"/>
  <c r="B545" i="2"/>
  <c r="D545" i="2"/>
  <c r="E545" i="2"/>
  <c r="F545" i="2"/>
  <c r="C546" i="2"/>
  <c r="B546" i="2"/>
  <c r="D546" i="2"/>
  <c r="E546" i="2"/>
  <c r="F546" i="2"/>
  <c r="C547" i="2"/>
  <c r="B547" i="2"/>
  <c r="D547" i="2"/>
  <c r="E547" i="2"/>
  <c r="F547" i="2"/>
  <c r="C548" i="2"/>
  <c r="B548" i="2"/>
  <c r="D548" i="2"/>
  <c r="E548" i="2"/>
  <c r="F548" i="2"/>
  <c r="C549" i="2"/>
  <c r="B549" i="2"/>
  <c r="D549" i="2"/>
  <c r="E549" i="2"/>
  <c r="F549" i="2"/>
  <c r="C550" i="2"/>
  <c r="B550" i="2"/>
  <c r="D550" i="2"/>
  <c r="E550" i="2"/>
  <c r="F550" i="2"/>
  <c r="C551" i="2"/>
  <c r="B551" i="2"/>
  <c r="D551" i="2"/>
  <c r="E551" i="2"/>
  <c r="F551" i="2"/>
  <c r="C552" i="2"/>
  <c r="B552" i="2"/>
  <c r="D552" i="2"/>
  <c r="E552" i="2"/>
  <c r="F552" i="2"/>
  <c r="C553" i="2"/>
  <c r="B553" i="2"/>
  <c r="D553" i="2"/>
  <c r="E553" i="2"/>
  <c r="F553" i="2"/>
  <c r="C554" i="2"/>
  <c r="B554" i="2"/>
  <c r="D554" i="2"/>
  <c r="E554" i="2"/>
  <c r="F554" i="2"/>
  <c r="C555" i="2"/>
  <c r="B555" i="2"/>
  <c r="D555" i="2"/>
  <c r="E555" i="2"/>
  <c r="F555" i="2"/>
  <c r="C556" i="2"/>
  <c r="B556" i="2"/>
  <c r="D556" i="2"/>
  <c r="E556" i="2"/>
  <c r="F556" i="2"/>
  <c r="C557" i="2"/>
  <c r="B557" i="2"/>
  <c r="D557" i="2"/>
  <c r="E557" i="2"/>
  <c r="F557" i="2"/>
  <c r="C558" i="2"/>
  <c r="B558" i="2"/>
  <c r="D558" i="2"/>
  <c r="E558" i="2"/>
  <c r="F558" i="2"/>
  <c r="C559" i="2"/>
  <c r="B559" i="2"/>
  <c r="D559" i="2"/>
  <c r="E559" i="2"/>
  <c r="F559" i="2"/>
  <c r="C560" i="2"/>
  <c r="B560" i="2"/>
  <c r="D560" i="2"/>
  <c r="E560" i="2"/>
  <c r="F560" i="2"/>
  <c r="C561" i="2"/>
  <c r="B561" i="2"/>
  <c r="D561" i="2"/>
  <c r="E561" i="2"/>
  <c r="F561" i="2"/>
  <c r="C562" i="2"/>
  <c r="B562" i="2"/>
  <c r="D562" i="2"/>
  <c r="E562" i="2"/>
  <c r="F562" i="2"/>
  <c r="C563" i="2"/>
  <c r="B563" i="2"/>
  <c r="D563" i="2"/>
  <c r="E563" i="2"/>
  <c r="F563" i="2"/>
  <c r="C564" i="2"/>
  <c r="B564" i="2"/>
  <c r="D564" i="2"/>
  <c r="E564" i="2"/>
  <c r="F564" i="2"/>
  <c r="C565" i="2"/>
  <c r="B565" i="2"/>
  <c r="D565" i="2"/>
  <c r="E565" i="2"/>
  <c r="F565" i="2"/>
  <c r="C566" i="2"/>
  <c r="B566" i="2"/>
  <c r="D566" i="2"/>
  <c r="E566" i="2"/>
  <c r="F566" i="2"/>
  <c r="C567" i="2"/>
  <c r="B567" i="2"/>
  <c r="D567" i="2"/>
  <c r="E567" i="2"/>
  <c r="F567" i="2"/>
  <c r="C568" i="2"/>
  <c r="B568" i="2"/>
  <c r="D568" i="2"/>
  <c r="E568" i="2"/>
  <c r="F568" i="2"/>
  <c r="C569" i="2"/>
  <c r="B569" i="2"/>
  <c r="D569" i="2"/>
  <c r="E569" i="2"/>
  <c r="F569" i="2"/>
  <c r="C570" i="2"/>
  <c r="B570" i="2"/>
  <c r="D570" i="2"/>
  <c r="E570" i="2"/>
  <c r="F570" i="2"/>
  <c r="C571" i="2"/>
  <c r="B571" i="2"/>
  <c r="D571" i="2"/>
  <c r="E571" i="2"/>
  <c r="F571" i="2"/>
  <c r="C572" i="2"/>
  <c r="B572" i="2"/>
  <c r="D572" i="2"/>
  <c r="E572" i="2"/>
  <c r="F572" i="2"/>
  <c r="C573" i="2"/>
  <c r="B573" i="2"/>
  <c r="D573" i="2"/>
  <c r="E573" i="2"/>
  <c r="F573" i="2"/>
  <c r="C574" i="2"/>
  <c r="B574" i="2"/>
  <c r="D574" i="2"/>
  <c r="E574" i="2"/>
  <c r="F574" i="2"/>
  <c r="C575" i="2"/>
  <c r="B575" i="2"/>
  <c r="D575" i="2"/>
  <c r="E575" i="2"/>
  <c r="F575" i="2"/>
  <c r="C576" i="2"/>
  <c r="B576" i="2"/>
  <c r="D576" i="2"/>
  <c r="E576" i="2"/>
  <c r="F576" i="2"/>
  <c r="C577" i="2"/>
  <c r="B577" i="2"/>
  <c r="D577" i="2"/>
  <c r="E577" i="2"/>
  <c r="F577" i="2"/>
  <c r="C578" i="2"/>
  <c r="B578" i="2"/>
  <c r="D578" i="2"/>
  <c r="E578" i="2"/>
  <c r="F578" i="2"/>
  <c r="C579" i="2"/>
  <c r="B579" i="2"/>
  <c r="D579" i="2"/>
  <c r="E579" i="2"/>
  <c r="F579" i="2"/>
  <c r="C580" i="2"/>
  <c r="B580" i="2"/>
  <c r="D580" i="2"/>
  <c r="E580" i="2"/>
  <c r="F580" i="2"/>
  <c r="C581" i="2"/>
  <c r="B581" i="2"/>
  <c r="D581" i="2"/>
  <c r="E581" i="2"/>
  <c r="F581" i="2"/>
  <c r="C582" i="2"/>
  <c r="B582" i="2"/>
  <c r="D582" i="2"/>
  <c r="E582" i="2"/>
  <c r="F582" i="2"/>
  <c r="C583" i="2"/>
  <c r="B583" i="2"/>
  <c r="D583" i="2"/>
  <c r="E583" i="2"/>
  <c r="F583" i="2"/>
  <c r="C584" i="2"/>
  <c r="B584" i="2"/>
  <c r="D584" i="2"/>
  <c r="E584" i="2"/>
  <c r="F584" i="2"/>
  <c r="C585" i="2"/>
  <c r="B585" i="2"/>
  <c r="D585" i="2"/>
  <c r="E585" i="2"/>
  <c r="F585" i="2"/>
  <c r="C586" i="2"/>
  <c r="B586" i="2"/>
  <c r="D586" i="2"/>
  <c r="E586" i="2"/>
  <c r="F586" i="2"/>
  <c r="C587" i="2"/>
  <c r="B587" i="2"/>
  <c r="D587" i="2"/>
  <c r="E587" i="2"/>
  <c r="F587" i="2"/>
  <c r="C588" i="2"/>
  <c r="B588" i="2"/>
  <c r="D588" i="2"/>
  <c r="E588" i="2"/>
  <c r="F588" i="2"/>
  <c r="C589" i="2"/>
  <c r="B589" i="2"/>
  <c r="D589" i="2"/>
  <c r="E589" i="2"/>
  <c r="F589" i="2"/>
  <c r="C590" i="2"/>
  <c r="B590" i="2"/>
  <c r="D590" i="2"/>
  <c r="E590" i="2"/>
  <c r="F590" i="2"/>
  <c r="C591" i="2"/>
  <c r="B591" i="2"/>
  <c r="D591" i="2"/>
  <c r="E591" i="2"/>
  <c r="F591" i="2"/>
  <c r="C592" i="2"/>
  <c r="B592" i="2"/>
  <c r="D592" i="2"/>
  <c r="E592" i="2"/>
  <c r="F592" i="2"/>
  <c r="C593" i="2"/>
  <c r="B593" i="2"/>
  <c r="D593" i="2"/>
  <c r="E593" i="2"/>
  <c r="F593" i="2"/>
  <c r="C594" i="2"/>
  <c r="B594" i="2"/>
  <c r="D594" i="2"/>
  <c r="E594" i="2"/>
  <c r="F594" i="2"/>
  <c r="C595" i="2"/>
  <c r="B595" i="2"/>
  <c r="D595" i="2"/>
  <c r="E595" i="2"/>
  <c r="F595" i="2"/>
  <c r="C596" i="2"/>
  <c r="B596" i="2"/>
  <c r="D596" i="2"/>
  <c r="E596" i="2"/>
  <c r="F596" i="2"/>
  <c r="C597" i="2"/>
  <c r="B597" i="2"/>
  <c r="D597" i="2"/>
  <c r="E597" i="2"/>
  <c r="F597" i="2"/>
  <c r="C598" i="2"/>
  <c r="B598" i="2"/>
  <c r="D598" i="2"/>
  <c r="E598" i="2"/>
  <c r="F598" i="2"/>
  <c r="C599" i="2"/>
  <c r="B599" i="2"/>
  <c r="D599" i="2"/>
  <c r="E599" i="2"/>
  <c r="F599" i="2"/>
  <c r="C600" i="2"/>
  <c r="B600" i="2"/>
  <c r="D600" i="2"/>
  <c r="E600" i="2"/>
  <c r="F600" i="2"/>
  <c r="C601" i="2"/>
  <c r="B601" i="2"/>
  <c r="D601" i="2"/>
  <c r="E601" i="2"/>
  <c r="F601" i="2"/>
  <c r="C602" i="2"/>
  <c r="B602" i="2"/>
  <c r="D602" i="2"/>
  <c r="E602" i="2"/>
  <c r="F602" i="2"/>
  <c r="C603" i="2"/>
  <c r="B603" i="2"/>
  <c r="D603" i="2"/>
  <c r="E603" i="2"/>
  <c r="F603" i="2"/>
  <c r="C604" i="2"/>
  <c r="B604" i="2"/>
  <c r="D604" i="2"/>
  <c r="E604" i="2"/>
  <c r="F604" i="2"/>
  <c r="C605" i="2"/>
  <c r="B605" i="2"/>
  <c r="D605" i="2"/>
  <c r="E605" i="2"/>
  <c r="F605" i="2"/>
  <c r="C606" i="2"/>
  <c r="B606" i="2"/>
  <c r="D606" i="2"/>
  <c r="E606" i="2"/>
  <c r="F606" i="2"/>
  <c r="C607" i="2"/>
  <c r="B607" i="2"/>
  <c r="D607" i="2"/>
  <c r="E607" i="2"/>
  <c r="F607" i="2"/>
  <c r="C608" i="2"/>
  <c r="B608" i="2"/>
  <c r="D608" i="2"/>
  <c r="E608" i="2"/>
  <c r="F608" i="2"/>
  <c r="C609" i="2"/>
  <c r="B609" i="2"/>
  <c r="D609" i="2"/>
  <c r="E609" i="2"/>
  <c r="F609" i="2"/>
  <c r="C610" i="2"/>
  <c r="B610" i="2"/>
  <c r="D610" i="2"/>
  <c r="E610" i="2"/>
  <c r="F610" i="2"/>
  <c r="C611" i="2"/>
  <c r="B611" i="2"/>
  <c r="D611" i="2"/>
  <c r="E611" i="2"/>
  <c r="F611" i="2"/>
  <c r="C612" i="2"/>
  <c r="B612" i="2"/>
  <c r="D612" i="2"/>
  <c r="E612" i="2"/>
  <c r="F612" i="2"/>
  <c r="C613" i="2"/>
  <c r="B613" i="2"/>
  <c r="D613" i="2"/>
  <c r="E613" i="2"/>
  <c r="F613" i="2"/>
  <c r="C614" i="2"/>
  <c r="B614" i="2"/>
  <c r="D614" i="2"/>
  <c r="E614" i="2"/>
  <c r="F614" i="2"/>
  <c r="C615" i="2"/>
  <c r="B615" i="2"/>
  <c r="D615" i="2"/>
  <c r="E615" i="2"/>
  <c r="F615" i="2"/>
  <c r="C616" i="2"/>
  <c r="B616" i="2"/>
  <c r="D616" i="2"/>
  <c r="E616" i="2"/>
  <c r="F616" i="2"/>
  <c r="C617" i="2"/>
  <c r="B617" i="2"/>
  <c r="D617" i="2"/>
  <c r="E617" i="2"/>
  <c r="F617" i="2"/>
  <c r="C618" i="2"/>
  <c r="B618" i="2"/>
  <c r="D618" i="2"/>
  <c r="E618" i="2"/>
  <c r="F618" i="2"/>
  <c r="C619" i="2"/>
  <c r="B619" i="2"/>
  <c r="D619" i="2"/>
  <c r="E619" i="2"/>
  <c r="F619" i="2"/>
  <c r="C620" i="2"/>
  <c r="B620" i="2"/>
  <c r="D620" i="2"/>
  <c r="E620" i="2"/>
  <c r="F620" i="2"/>
  <c r="C621" i="2"/>
  <c r="B621" i="2"/>
  <c r="D621" i="2"/>
  <c r="E621" i="2"/>
  <c r="F621" i="2"/>
  <c r="C622" i="2"/>
  <c r="B622" i="2"/>
  <c r="D622" i="2"/>
  <c r="E622" i="2"/>
  <c r="F622" i="2"/>
  <c r="C623" i="2"/>
  <c r="B623" i="2"/>
  <c r="D623" i="2"/>
  <c r="E623" i="2"/>
  <c r="F623" i="2"/>
  <c r="C624" i="2"/>
  <c r="B624" i="2"/>
  <c r="D624" i="2"/>
  <c r="E624" i="2"/>
  <c r="F624" i="2"/>
  <c r="C625" i="2"/>
  <c r="B625" i="2"/>
  <c r="D625" i="2"/>
  <c r="E625" i="2"/>
  <c r="F625" i="2"/>
  <c r="C626" i="2"/>
  <c r="B626" i="2"/>
  <c r="D626" i="2"/>
  <c r="E626" i="2"/>
  <c r="F626" i="2"/>
  <c r="C627" i="2"/>
  <c r="B627" i="2"/>
  <c r="D627" i="2"/>
  <c r="E627" i="2"/>
  <c r="F627" i="2"/>
  <c r="C628" i="2"/>
  <c r="B628" i="2"/>
  <c r="D628" i="2"/>
  <c r="E628" i="2"/>
  <c r="F628" i="2"/>
  <c r="C629" i="2"/>
  <c r="B629" i="2"/>
  <c r="D629" i="2"/>
  <c r="E629" i="2"/>
  <c r="F629" i="2"/>
  <c r="C630" i="2"/>
  <c r="B630" i="2"/>
  <c r="D630" i="2"/>
  <c r="E630" i="2"/>
  <c r="F630" i="2"/>
  <c r="C631" i="2"/>
  <c r="B631" i="2"/>
  <c r="D631" i="2"/>
  <c r="E631" i="2"/>
  <c r="F631" i="2"/>
  <c r="C632" i="2"/>
  <c r="B632" i="2"/>
  <c r="D632" i="2"/>
  <c r="E632" i="2"/>
  <c r="F632" i="2"/>
  <c r="C633" i="2"/>
  <c r="B633" i="2"/>
  <c r="D633" i="2"/>
  <c r="E633" i="2"/>
  <c r="F633" i="2"/>
  <c r="C634" i="2"/>
  <c r="B634" i="2"/>
  <c r="D634" i="2"/>
  <c r="E634" i="2"/>
  <c r="F634" i="2"/>
  <c r="C635" i="2"/>
  <c r="B635" i="2"/>
  <c r="D635" i="2"/>
  <c r="E635" i="2"/>
  <c r="F635" i="2"/>
  <c r="C636" i="2"/>
  <c r="B636" i="2"/>
  <c r="D636" i="2"/>
  <c r="E636" i="2"/>
  <c r="F636" i="2"/>
  <c r="C637" i="2"/>
  <c r="B637" i="2"/>
  <c r="D637" i="2"/>
  <c r="E637" i="2"/>
  <c r="F637" i="2"/>
  <c r="C638" i="2"/>
  <c r="B638" i="2"/>
  <c r="D638" i="2"/>
  <c r="E638" i="2"/>
  <c r="F638" i="2"/>
  <c r="C639" i="2"/>
  <c r="B639" i="2"/>
  <c r="D639" i="2"/>
  <c r="E639" i="2"/>
  <c r="F639" i="2"/>
  <c r="C640" i="2"/>
  <c r="B640" i="2"/>
  <c r="D640" i="2"/>
  <c r="E640" i="2"/>
  <c r="F640" i="2"/>
  <c r="C641" i="2"/>
  <c r="B641" i="2"/>
  <c r="D641" i="2"/>
  <c r="E641" i="2"/>
  <c r="F641" i="2"/>
  <c r="C642" i="2"/>
  <c r="B642" i="2"/>
  <c r="D642" i="2"/>
  <c r="E642" i="2"/>
  <c r="F642" i="2"/>
  <c r="C643" i="2"/>
  <c r="B643" i="2"/>
  <c r="D643" i="2"/>
  <c r="E643" i="2"/>
  <c r="F643" i="2"/>
  <c r="C644" i="2"/>
  <c r="B644" i="2"/>
  <c r="D644" i="2"/>
  <c r="E644" i="2"/>
  <c r="F644" i="2"/>
  <c r="C645" i="2"/>
  <c r="B645" i="2"/>
  <c r="D645" i="2"/>
  <c r="E645" i="2"/>
  <c r="F645" i="2"/>
  <c r="C646" i="2"/>
  <c r="B646" i="2"/>
  <c r="D646" i="2"/>
  <c r="E646" i="2"/>
  <c r="F646" i="2"/>
  <c r="C647" i="2"/>
  <c r="B647" i="2"/>
  <c r="D647" i="2"/>
  <c r="E647" i="2"/>
  <c r="F647" i="2"/>
  <c r="C648" i="2"/>
  <c r="B648" i="2"/>
  <c r="D648" i="2"/>
  <c r="E648" i="2"/>
  <c r="F648" i="2"/>
  <c r="C649" i="2"/>
  <c r="B649" i="2"/>
  <c r="D649" i="2"/>
  <c r="E649" i="2"/>
  <c r="F649" i="2"/>
  <c r="C650" i="2"/>
  <c r="B650" i="2"/>
  <c r="D650" i="2"/>
  <c r="E650" i="2"/>
  <c r="F650" i="2"/>
  <c r="C651" i="2"/>
  <c r="B651" i="2"/>
  <c r="D651" i="2"/>
  <c r="E651" i="2"/>
  <c r="F651" i="2"/>
  <c r="C652" i="2"/>
  <c r="B652" i="2"/>
  <c r="D652" i="2"/>
  <c r="E652" i="2"/>
  <c r="F652" i="2"/>
  <c r="C653" i="2"/>
  <c r="B653" i="2"/>
  <c r="D653" i="2"/>
  <c r="E653" i="2"/>
  <c r="F653" i="2"/>
  <c r="C654" i="2"/>
  <c r="B654" i="2"/>
  <c r="D654" i="2"/>
  <c r="E654" i="2"/>
  <c r="F654" i="2"/>
  <c r="C655" i="2"/>
  <c r="B655" i="2"/>
  <c r="D655" i="2"/>
  <c r="E655" i="2"/>
  <c r="F655" i="2"/>
  <c r="C656" i="2"/>
  <c r="B656" i="2"/>
  <c r="D656" i="2"/>
  <c r="E656" i="2"/>
  <c r="F656" i="2"/>
  <c r="C657" i="2"/>
  <c r="B657" i="2"/>
  <c r="D657" i="2"/>
  <c r="E657" i="2"/>
  <c r="F657" i="2"/>
  <c r="C658" i="2"/>
  <c r="B658" i="2"/>
  <c r="D658" i="2"/>
  <c r="E658" i="2"/>
  <c r="F658" i="2"/>
  <c r="C659" i="2"/>
  <c r="B659" i="2"/>
  <c r="D659" i="2"/>
  <c r="E659" i="2"/>
  <c r="F659" i="2"/>
  <c r="C660" i="2"/>
  <c r="B660" i="2"/>
  <c r="D660" i="2"/>
  <c r="E660" i="2"/>
  <c r="F660" i="2"/>
  <c r="C661" i="2"/>
  <c r="B661" i="2"/>
  <c r="D661" i="2"/>
  <c r="E661" i="2"/>
  <c r="F661" i="2"/>
  <c r="C662" i="2"/>
  <c r="B662" i="2"/>
  <c r="D662" i="2"/>
  <c r="E662" i="2"/>
  <c r="F662" i="2"/>
  <c r="C663" i="2"/>
  <c r="B663" i="2"/>
  <c r="D663" i="2"/>
  <c r="E663" i="2"/>
  <c r="F663" i="2"/>
  <c r="C664" i="2"/>
  <c r="B664" i="2"/>
  <c r="D664" i="2"/>
  <c r="E664" i="2"/>
  <c r="F664" i="2"/>
  <c r="C665" i="2"/>
  <c r="B665" i="2"/>
  <c r="D665" i="2"/>
  <c r="E665" i="2"/>
  <c r="F665" i="2"/>
  <c r="C666" i="2"/>
  <c r="B666" i="2"/>
  <c r="D666" i="2"/>
  <c r="E666" i="2"/>
  <c r="F666" i="2"/>
  <c r="C667" i="2"/>
  <c r="B667" i="2"/>
  <c r="D667" i="2"/>
  <c r="E667" i="2"/>
  <c r="F667" i="2"/>
  <c r="C668" i="2"/>
  <c r="B668" i="2"/>
  <c r="D668" i="2"/>
  <c r="E668" i="2"/>
  <c r="F668" i="2"/>
  <c r="C669" i="2"/>
  <c r="B669" i="2"/>
  <c r="D669" i="2"/>
  <c r="E669" i="2"/>
  <c r="F669" i="2"/>
  <c r="C670" i="2"/>
  <c r="B670" i="2"/>
  <c r="D670" i="2"/>
  <c r="E670" i="2"/>
  <c r="F670" i="2"/>
  <c r="C671" i="2"/>
  <c r="B671" i="2"/>
  <c r="D671" i="2"/>
  <c r="E671" i="2"/>
  <c r="F671" i="2"/>
  <c r="C672" i="2"/>
  <c r="B672" i="2"/>
  <c r="D672" i="2"/>
  <c r="E672" i="2"/>
  <c r="F672" i="2"/>
  <c r="C673" i="2"/>
  <c r="B673" i="2"/>
  <c r="D673" i="2"/>
  <c r="E673" i="2"/>
  <c r="F673" i="2"/>
  <c r="C674" i="2"/>
  <c r="B674" i="2"/>
  <c r="D674" i="2"/>
  <c r="E674" i="2"/>
  <c r="F674" i="2"/>
  <c r="C675" i="2"/>
  <c r="B675" i="2"/>
  <c r="D675" i="2"/>
  <c r="E675" i="2"/>
  <c r="F675" i="2"/>
  <c r="C676" i="2"/>
  <c r="B676" i="2"/>
  <c r="D676" i="2"/>
  <c r="E676" i="2"/>
  <c r="F676" i="2"/>
  <c r="C677" i="2"/>
  <c r="B677" i="2"/>
  <c r="D677" i="2"/>
  <c r="E677" i="2"/>
  <c r="F677" i="2"/>
  <c r="C678" i="2"/>
  <c r="B678" i="2"/>
  <c r="D678" i="2"/>
  <c r="E678" i="2"/>
  <c r="F678" i="2"/>
  <c r="C679" i="2"/>
  <c r="B679" i="2"/>
  <c r="D679" i="2"/>
  <c r="E679" i="2"/>
  <c r="F679" i="2"/>
  <c r="C680" i="2"/>
  <c r="B680" i="2"/>
  <c r="D680" i="2"/>
  <c r="E680" i="2"/>
  <c r="F680" i="2"/>
  <c r="C681" i="2"/>
  <c r="B681" i="2"/>
  <c r="D681" i="2"/>
  <c r="E681" i="2"/>
  <c r="F681" i="2"/>
  <c r="C682" i="2"/>
  <c r="B682" i="2"/>
  <c r="D682" i="2"/>
  <c r="E682" i="2"/>
  <c r="F682" i="2"/>
  <c r="C683" i="2"/>
  <c r="B683" i="2"/>
  <c r="D683" i="2"/>
  <c r="E683" i="2"/>
  <c r="F683" i="2"/>
  <c r="C684" i="2"/>
  <c r="B684" i="2"/>
  <c r="D684" i="2"/>
  <c r="E684" i="2"/>
  <c r="F684" i="2"/>
  <c r="C685" i="2"/>
  <c r="B685" i="2"/>
  <c r="D685" i="2"/>
  <c r="E685" i="2"/>
  <c r="F685" i="2"/>
  <c r="C686" i="2"/>
  <c r="B686" i="2"/>
  <c r="D686" i="2"/>
  <c r="E686" i="2"/>
  <c r="F686" i="2"/>
  <c r="C687" i="2"/>
  <c r="B687" i="2"/>
  <c r="D687" i="2"/>
  <c r="E687" i="2"/>
  <c r="F687" i="2"/>
  <c r="C688" i="2"/>
  <c r="B688" i="2"/>
  <c r="D688" i="2"/>
  <c r="E688" i="2"/>
  <c r="F688" i="2"/>
  <c r="C689" i="2"/>
  <c r="B689" i="2"/>
  <c r="D689" i="2"/>
  <c r="E689" i="2"/>
  <c r="F689" i="2"/>
  <c r="C690" i="2"/>
  <c r="B690" i="2"/>
  <c r="D690" i="2"/>
  <c r="E690" i="2"/>
  <c r="F690" i="2"/>
  <c r="C691" i="2"/>
  <c r="B691" i="2"/>
  <c r="D691" i="2"/>
  <c r="E691" i="2"/>
  <c r="F691" i="2"/>
  <c r="C692" i="2"/>
  <c r="B692" i="2"/>
  <c r="D692" i="2"/>
  <c r="E692" i="2"/>
  <c r="F692" i="2"/>
  <c r="C693" i="2"/>
  <c r="B693" i="2"/>
  <c r="D693" i="2"/>
  <c r="E693" i="2"/>
  <c r="F693" i="2"/>
  <c r="C694" i="2"/>
  <c r="B694" i="2"/>
  <c r="D694" i="2"/>
  <c r="E694" i="2"/>
  <c r="F694" i="2"/>
  <c r="C695" i="2"/>
  <c r="B695" i="2"/>
  <c r="D695" i="2"/>
  <c r="E695" i="2"/>
  <c r="F695" i="2"/>
  <c r="C696" i="2"/>
  <c r="B696" i="2"/>
  <c r="D696" i="2"/>
  <c r="E696" i="2"/>
  <c r="F696" i="2"/>
  <c r="C697" i="2"/>
  <c r="B697" i="2"/>
  <c r="D697" i="2"/>
  <c r="E697" i="2"/>
  <c r="F697" i="2"/>
  <c r="C698" i="2"/>
  <c r="B698" i="2"/>
  <c r="D698" i="2"/>
  <c r="E698" i="2"/>
  <c r="F698" i="2"/>
  <c r="C699" i="2"/>
  <c r="B699" i="2"/>
  <c r="D699" i="2"/>
  <c r="E699" i="2"/>
  <c r="F699" i="2"/>
  <c r="C700" i="2"/>
  <c r="B700" i="2"/>
  <c r="D700" i="2"/>
  <c r="E700" i="2"/>
  <c r="F700" i="2"/>
  <c r="C701" i="2"/>
  <c r="B701" i="2"/>
  <c r="D701" i="2"/>
  <c r="E701" i="2"/>
  <c r="F701" i="2"/>
  <c r="C702" i="2"/>
  <c r="B702" i="2"/>
  <c r="D702" i="2"/>
  <c r="E702" i="2"/>
  <c r="F702" i="2"/>
  <c r="C703" i="2"/>
  <c r="B703" i="2"/>
  <c r="D703" i="2"/>
  <c r="E703" i="2"/>
  <c r="F703" i="2"/>
  <c r="C704" i="2"/>
  <c r="B704" i="2"/>
  <c r="D704" i="2"/>
  <c r="E704" i="2"/>
  <c r="F704" i="2"/>
  <c r="C705" i="2"/>
  <c r="B705" i="2"/>
  <c r="D705" i="2"/>
  <c r="E705" i="2"/>
  <c r="F705" i="2"/>
  <c r="C706" i="2"/>
  <c r="B706" i="2"/>
  <c r="D706" i="2"/>
  <c r="E706" i="2"/>
  <c r="F706" i="2"/>
  <c r="C707" i="2"/>
  <c r="B707" i="2"/>
  <c r="D707" i="2"/>
  <c r="E707" i="2"/>
  <c r="F707" i="2"/>
  <c r="C708" i="2"/>
  <c r="B708" i="2"/>
  <c r="D708" i="2"/>
  <c r="E708" i="2"/>
  <c r="F708" i="2"/>
  <c r="C709" i="2"/>
  <c r="B709" i="2"/>
  <c r="D709" i="2"/>
  <c r="E709" i="2"/>
  <c r="F709" i="2"/>
  <c r="C710" i="2"/>
  <c r="B710" i="2"/>
  <c r="D710" i="2"/>
  <c r="E710" i="2"/>
  <c r="F710" i="2"/>
  <c r="C711" i="2"/>
  <c r="B711" i="2"/>
  <c r="D711" i="2"/>
  <c r="E711" i="2"/>
  <c r="F711" i="2"/>
  <c r="C712" i="2"/>
  <c r="B712" i="2"/>
  <c r="D712" i="2"/>
  <c r="E712" i="2"/>
  <c r="F712" i="2"/>
  <c r="C713" i="2"/>
  <c r="B713" i="2"/>
  <c r="D713" i="2"/>
  <c r="E713" i="2"/>
  <c r="F713" i="2"/>
  <c r="C714" i="2"/>
  <c r="B714" i="2"/>
  <c r="D714" i="2"/>
  <c r="E714" i="2"/>
  <c r="F714" i="2"/>
  <c r="C715" i="2"/>
  <c r="B715" i="2"/>
  <c r="D715" i="2"/>
  <c r="E715" i="2"/>
  <c r="F715" i="2"/>
  <c r="C716" i="2"/>
  <c r="B716" i="2"/>
  <c r="D716" i="2"/>
  <c r="E716" i="2"/>
  <c r="F716" i="2"/>
  <c r="C717" i="2"/>
  <c r="B717" i="2"/>
  <c r="D717" i="2"/>
  <c r="E717" i="2"/>
  <c r="F717" i="2"/>
  <c r="C718" i="2"/>
  <c r="B718" i="2"/>
  <c r="D718" i="2"/>
  <c r="E718" i="2"/>
  <c r="F718" i="2"/>
  <c r="C719" i="2"/>
  <c r="B719" i="2"/>
  <c r="D719" i="2"/>
  <c r="E719" i="2"/>
  <c r="F719" i="2"/>
  <c r="C720" i="2"/>
  <c r="B720" i="2"/>
  <c r="D720" i="2"/>
  <c r="E720" i="2"/>
  <c r="F720" i="2"/>
  <c r="C721" i="2"/>
  <c r="B721" i="2"/>
  <c r="D721" i="2"/>
  <c r="E721" i="2"/>
  <c r="F721" i="2"/>
  <c r="C722" i="2"/>
  <c r="B722" i="2"/>
  <c r="D722" i="2"/>
  <c r="E722" i="2"/>
  <c r="F722" i="2"/>
  <c r="C723" i="2"/>
  <c r="B723" i="2"/>
  <c r="D723" i="2"/>
  <c r="E723" i="2"/>
  <c r="F723" i="2"/>
  <c r="C724" i="2"/>
  <c r="B724" i="2"/>
  <c r="D724" i="2"/>
  <c r="E724" i="2"/>
  <c r="F724" i="2"/>
  <c r="C725" i="2"/>
  <c r="B725" i="2"/>
  <c r="D725" i="2"/>
  <c r="E725" i="2"/>
  <c r="F725" i="2"/>
  <c r="C726" i="2"/>
  <c r="B726" i="2"/>
  <c r="D726" i="2"/>
  <c r="E726" i="2"/>
  <c r="F726" i="2"/>
  <c r="C727" i="2"/>
  <c r="B727" i="2"/>
  <c r="D727" i="2"/>
  <c r="E727" i="2"/>
  <c r="F727" i="2"/>
  <c r="C728" i="2"/>
  <c r="B728" i="2"/>
  <c r="D728" i="2"/>
  <c r="E728" i="2"/>
  <c r="F728" i="2"/>
  <c r="C729" i="2"/>
  <c r="B729" i="2"/>
  <c r="D729" i="2"/>
  <c r="E729" i="2"/>
  <c r="F729" i="2"/>
  <c r="C730" i="2"/>
  <c r="B730" i="2"/>
  <c r="D730" i="2"/>
  <c r="E730" i="2"/>
  <c r="F730" i="2"/>
  <c r="C731" i="2"/>
  <c r="B731" i="2"/>
  <c r="D731" i="2"/>
  <c r="E731" i="2"/>
  <c r="F731" i="2"/>
  <c r="C732" i="2"/>
  <c r="B732" i="2"/>
  <c r="D732" i="2"/>
  <c r="E732" i="2"/>
  <c r="F732" i="2"/>
  <c r="C733" i="2"/>
  <c r="B733" i="2"/>
  <c r="D733" i="2"/>
  <c r="E733" i="2"/>
  <c r="F733" i="2"/>
  <c r="C734" i="2"/>
  <c r="B734" i="2"/>
  <c r="D734" i="2"/>
  <c r="E734" i="2"/>
  <c r="F734" i="2"/>
  <c r="C735" i="2"/>
  <c r="B735" i="2"/>
  <c r="D735" i="2"/>
  <c r="E735" i="2"/>
  <c r="F735" i="2"/>
  <c r="C736" i="2"/>
  <c r="B736" i="2"/>
  <c r="D736" i="2"/>
  <c r="E736" i="2"/>
  <c r="F736" i="2"/>
  <c r="C737" i="2"/>
  <c r="B737" i="2"/>
  <c r="D737" i="2"/>
  <c r="E737" i="2"/>
  <c r="F737" i="2"/>
  <c r="C738" i="2"/>
  <c r="B738" i="2"/>
  <c r="D738" i="2"/>
  <c r="E738" i="2"/>
  <c r="F738" i="2"/>
  <c r="C739" i="2"/>
  <c r="B739" i="2"/>
  <c r="D739" i="2"/>
  <c r="E739" i="2"/>
  <c r="F739" i="2"/>
  <c r="C740" i="2"/>
  <c r="B740" i="2"/>
  <c r="D740" i="2"/>
  <c r="E740" i="2"/>
  <c r="F740" i="2"/>
  <c r="C741" i="2"/>
  <c r="B741" i="2"/>
  <c r="D741" i="2"/>
  <c r="E741" i="2"/>
  <c r="F741" i="2"/>
  <c r="C742" i="2"/>
  <c r="B742" i="2"/>
  <c r="D742" i="2"/>
  <c r="E742" i="2"/>
  <c r="F742" i="2"/>
  <c r="C743" i="2"/>
  <c r="B743" i="2"/>
  <c r="D743" i="2"/>
  <c r="E743" i="2"/>
  <c r="F743" i="2"/>
  <c r="C744" i="2"/>
  <c r="B744" i="2"/>
  <c r="D744" i="2"/>
  <c r="E744" i="2"/>
  <c r="F744" i="2"/>
  <c r="B5" i="2"/>
  <c r="D5" i="2"/>
  <c r="E5" i="2"/>
  <c r="F5" i="2"/>
  <c r="C5" i="2"/>
  <c r="A5" i="2"/>
  <c r="L745" i="2" l="1"/>
  <c r="G69" i="2"/>
  <c r="H69" i="2" s="1"/>
  <c r="G740" i="2"/>
  <c r="H740" i="2" s="1"/>
  <c r="G704" i="2"/>
  <c r="H704" i="2" s="1"/>
  <c r="G668" i="2"/>
  <c r="H668" i="2" s="1"/>
  <c r="G620" i="2"/>
  <c r="H620" i="2" s="1"/>
  <c r="G584" i="2"/>
  <c r="H584" i="2" s="1"/>
  <c r="G548" i="2"/>
  <c r="H548" i="2" s="1"/>
  <c r="G512" i="2"/>
  <c r="H512" i="2" s="1"/>
  <c r="G476" i="2"/>
  <c r="H476" i="2" s="1"/>
  <c r="G440" i="2"/>
  <c r="H440" i="2" s="1"/>
  <c r="G416" i="2"/>
  <c r="H416" i="2" s="1"/>
  <c r="G380" i="2"/>
  <c r="H380" i="2" s="1"/>
  <c r="G344" i="2"/>
  <c r="H344" i="2" s="1"/>
  <c r="G308" i="2"/>
  <c r="H308" i="2" s="1"/>
  <c r="G260" i="2"/>
  <c r="H260" i="2" s="1"/>
  <c r="G224" i="2"/>
  <c r="H224" i="2" s="1"/>
  <c r="G188" i="2"/>
  <c r="H188" i="2" s="1"/>
  <c r="G152" i="2"/>
  <c r="H152" i="2" s="1"/>
  <c r="G140" i="2"/>
  <c r="H140" i="2" s="1"/>
  <c r="G128" i="2"/>
  <c r="H128" i="2" s="1"/>
  <c r="G116" i="2"/>
  <c r="H116" i="2" s="1"/>
  <c r="G104" i="2"/>
  <c r="H104" i="2" s="1"/>
  <c r="G92" i="2"/>
  <c r="H92" i="2" s="1"/>
  <c r="G80" i="2"/>
  <c r="H80" i="2" s="1"/>
  <c r="G68" i="2"/>
  <c r="H68" i="2" s="1"/>
  <c r="G31" i="2"/>
  <c r="H31" i="2" s="1"/>
  <c r="G176" i="2"/>
  <c r="H176" i="2" s="1"/>
  <c r="G45" i="2"/>
  <c r="H45" i="2" s="1"/>
  <c r="G728" i="2"/>
  <c r="H728" i="2" s="1"/>
  <c r="G692" i="2"/>
  <c r="H692" i="2" s="1"/>
  <c r="G656" i="2"/>
  <c r="H656" i="2" s="1"/>
  <c r="G632" i="2"/>
  <c r="H632" i="2" s="1"/>
  <c r="G596" i="2"/>
  <c r="H596" i="2" s="1"/>
  <c r="G560" i="2"/>
  <c r="H560" i="2" s="1"/>
  <c r="G524" i="2"/>
  <c r="H524" i="2" s="1"/>
  <c r="G488" i="2"/>
  <c r="H488" i="2" s="1"/>
  <c r="G464" i="2"/>
  <c r="H464" i="2" s="1"/>
  <c r="G428" i="2"/>
  <c r="H428" i="2" s="1"/>
  <c r="G392" i="2"/>
  <c r="H392" i="2" s="1"/>
  <c r="G356" i="2"/>
  <c r="H356" i="2" s="1"/>
  <c r="G320" i="2"/>
  <c r="H320" i="2" s="1"/>
  <c r="G284" i="2"/>
  <c r="H284" i="2" s="1"/>
  <c r="G248" i="2"/>
  <c r="H248" i="2" s="1"/>
  <c r="G212" i="2"/>
  <c r="H212" i="2" s="1"/>
  <c r="G164" i="2"/>
  <c r="H164" i="2" s="1"/>
  <c r="G44" i="2"/>
  <c r="H44" i="2" s="1"/>
  <c r="G727" i="2"/>
  <c r="H727" i="2" s="1"/>
  <c r="G703" i="2"/>
  <c r="H703" i="2" s="1"/>
  <c r="G679" i="2"/>
  <c r="H679" i="2" s="1"/>
  <c r="G655" i="2"/>
  <c r="H655" i="2" s="1"/>
  <c r="G631" i="2"/>
  <c r="H631" i="2" s="1"/>
  <c r="G607" i="2"/>
  <c r="H607" i="2" s="1"/>
  <c r="G583" i="2"/>
  <c r="H583" i="2" s="1"/>
  <c r="G559" i="2"/>
  <c r="H559" i="2" s="1"/>
  <c r="G535" i="2"/>
  <c r="H535" i="2" s="1"/>
  <c r="G511" i="2"/>
  <c r="H511" i="2" s="1"/>
  <c r="G487" i="2"/>
  <c r="H487" i="2" s="1"/>
  <c r="G463" i="2"/>
  <c r="H463" i="2" s="1"/>
  <c r="G439" i="2"/>
  <c r="H439" i="2" s="1"/>
  <c r="G415" i="2"/>
  <c r="H415" i="2" s="1"/>
  <c r="G391" i="2"/>
  <c r="H391" i="2" s="1"/>
  <c r="G367" i="2"/>
  <c r="H367" i="2" s="1"/>
  <c r="G343" i="2"/>
  <c r="H343" i="2" s="1"/>
  <c r="G319" i="2"/>
  <c r="H319" i="2" s="1"/>
  <c r="G295" i="2"/>
  <c r="H295" i="2" s="1"/>
  <c r="G271" i="2"/>
  <c r="H271" i="2" s="1"/>
  <c r="G247" i="2"/>
  <c r="H247" i="2" s="1"/>
  <c r="G223" i="2"/>
  <c r="H223" i="2" s="1"/>
  <c r="G211" i="2"/>
  <c r="H211" i="2" s="1"/>
  <c r="G199" i="2"/>
  <c r="H199" i="2" s="1"/>
  <c r="G187" i="2"/>
  <c r="H187" i="2" s="1"/>
  <c r="G175" i="2"/>
  <c r="H175" i="2" s="1"/>
  <c r="G163" i="2"/>
  <c r="H163" i="2" s="1"/>
  <c r="G151" i="2"/>
  <c r="H151" i="2" s="1"/>
  <c r="G139" i="2"/>
  <c r="H139" i="2" s="1"/>
  <c r="G127" i="2"/>
  <c r="H127" i="2" s="1"/>
  <c r="G115" i="2"/>
  <c r="H115" i="2" s="1"/>
  <c r="G103" i="2"/>
  <c r="H103" i="2" s="1"/>
  <c r="G91" i="2"/>
  <c r="H91" i="2" s="1"/>
  <c r="G79" i="2"/>
  <c r="H79" i="2" s="1"/>
  <c r="G67" i="2"/>
  <c r="H67" i="2" s="1"/>
  <c r="G43" i="2"/>
  <c r="H43" i="2" s="1"/>
  <c r="G32" i="2"/>
  <c r="H32" i="2" s="1"/>
  <c r="G738" i="2"/>
  <c r="H738" i="2" s="1"/>
  <c r="G726" i="2"/>
  <c r="H726" i="2" s="1"/>
  <c r="G702" i="2"/>
  <c r="H702" i="2" s="1"/>
  <c r="G690" i="2"/>
  <c r="H690" i="2" s="1"/>
  <c r="G678" i="2"/>
  <c r="H678" i="2" s="1"/>
  <c r="G666" i="2"/>
  <c r="H666" i="2" s="1"/>
  <c r="G654" i="2"/>
  <c r="H654" i="2" s="1"/>
  <c r="G642" i="2"/>
  <c r="H642" i="2" s="1"/>
  <c r="G630" i="2"/>
  <c r="H630" i="2" s="1"/>
  <c r="G618" i="2"/>
  <c r="H618" i="2" s="1"/>
  <c r="G57" i="2"/>
  <c r="H57" i="2" s="1"/>
  <c r="G716" i="2"/>
  <c r="H716" i="2" s="1"/>
  <c r="G680" i="2"/>
  <c r="H680" i="2" s="1"/>
  <c r="G644" i="2"/>
  <c r="H644" i="2" s="1"/>
  <c r="G608" i="2"/>
  <c r="H608" i="2" s="1"/>
  <c r="G572" i="2"/>
  <c r="H572" i="2" s="1"/>
  <c r="G536" i="2"/>
  <c r="H536" i="2" s="1"/>
  <c r="G500" i="2"/>
  <c r="H500" i="2" s="1"/>
  <c r="G452" i="2"/>
  <c r="H452" i="2" s="1"/>
  <c r="G404" i="2"/>
  <c r="H404" i="2" s="1"/>
  <c r="G368" i="2"/>
  <c r="H368" i="2" s="1"/>
  <c r="G332" i="2"/>
  <c r="H332" i="2" s="1"/>
  <c r="G296" i="2"/>
  <c r="H296" i="2" s="1"/>
  <c r="G272" i="2"/>
  <c r="H272" i="2" s="1"/>
  <c r="G236" i="2"/>
  <c r="H236" i="2" s="1"/>
  <c r="G200" i="2"/>
  <c r="H200" i="2" s="1"/>
  <c r="G56" i="2"/>
  <c r="H56" i="2" s="1"/>
  <c r="G739" i="2"/>
  <c r="H739" i="2" s="1"/>
  <c r="G715" i="2"/>
  <c r="H715" i="2" s="1"/>
  <c r="G691" i="2"/>
  <c r="H691" i="2" s="1"/>
  <c r="G667" i="2"/>
  <c r="H667" i="2" s="1"/>
  <c r="G643" i="2"/>
  <c r="H643" i="2" s="1"/>
  <c r="G619" i="2"/>
  <c r="H619" i="2" s="1"/>
  <c r="G595" i="2"/>
  <c r="H595" i="2" s="1"/>
  <c r="G571" i="2"/>
  <c r="H571" i="2" s="1"/>
  <c r="G547" i="2"/>
  <c r="H547" i="2" s="1"/>
  <c r="G523" i="2"/>
  <c r="H523" i="2" s="1"/>
  <c r="G499" i="2"/>
  <c r="H499" i="2" s="1"/>
  <c r="G475" i="2"/>
  <c r="H475" i="2" s="1"/>
  <c r="G451" i="2"/>
  <c r="H451" i="2" s="1"/>
  <c r="G427" i="2"/>
  <c r="H427" i="2" s="1"/>
  <c r="G403" i="2"/>
  <c r="H403" i="2" s="1"/>
  <c r="G379" i="2"/>
  <c r="H379" i="2" s="1"/>
  <c r="G355" i="2"/>
  <c r="H355" i="2" s="1"/>
  <c r="G331" i="2"/>
  <c r="H331" i="2" s="1"/>
  <c r="G307" i="2"/>
  <c r="H307" i="2" s="1"/>
  <c r="G283" i="2"/>
  <c r="H283" i="2" s="1"/>
  <c r="G259" i="2"/>
  <c r="H259" i="2" s="1"/>
  <c r="G235" i="2"/>
  <c r="H235" i="2" s="1"/>
  <c r="G55" i="2"/>
  <c r="H55" i="2" s="1"/>
  <c r="G714" i="2"/>
  <c r="H714" i="2" s="1"/>
  <c r="G474" i="2"/>
  <c r="H474" i="2" s="1"/>
  <c r="G450" i="2"/>
  <c r="H450" i="2" s="1"/>
  <c r="G414" i="2"/>
  <c r="H414" i="2" s="1"/>
  <c r="G366" i="2"/>
  <c r="H366" i="2" s="1"/>
  <c r="G318" i="2"/>
  <c r="H318" i="2" s="1"/>
  <c r="G270" i="2"/>
  <c r="H270" i="2" s="1"/>
  <c r="G234" i="2"/>
  <c r="H234" i="2" s="1"/>
  <c r="G198" i="2"/>
  <c r="H198" i="2" s="1"/>
  <c r="G162" i="2"/>
  <c r="H162" i="2" s="1"/>
  <c r="G126" i="2"/>
  <c r="H126" i="2" s="1"/>
  <c r="G102" i="2"/>
  <c r="H102" i="2" s="1"/>
  <c r="G54" i="2"/>
  <c r="H54" i="2" s="1"/>
  <c r="G725" i="2"/>
  <c r="H725" i="2" s="1"/>
  <c r="G677" i="2"/>
  <c r="H677" i="2" s="1"/>
  <c r="G641" i="2"/>
  <c r="H641" i="2" s="1"/>
  <c r="G605" i="2"/>
  <c r="H605" i="2" s="1"/>
  <c r="G557" i="2"/>
  <c r="H557" i="2" s="1"/>
  <c r="G509" i="2"/>
  <c r="H509" i="2" s="1"/>
  <c r="G473" i="2"/>
  <c r="H473" i="2" s="1"/>
  <c r="G425" i="2"/>
  <c r="H425" i="2" s="1"/>
  <c r="G389" i="2"/>
  <c r="H389" i="2" s="1"/>
  <c r="G329" i="2"/>
  <c r="H329" i="2" s="1"/>
  <c r="G305" i="2"/>
  <c r="H305" i="2" s="1"/>
  <c r="G257" i="2"/>
  <c r="H257" i="2" s="1"/>
  <c r="G221" i="2"/>
  <c r="H221" i="2" s="1"/>
  <c r="G185" i="2"/>
  <c r="H185" i="2" s="1"/>
  <c r="G736" i="2"/>
  <c r="H736" i="2" s="1"/>
  <c r="G724" i="2"/>
  <c r="H724" i="2" s="1"/>
  <c r="G712" i="2"/>
  <c r="H712" i="2" s="1"/>
  <c r="G700" i="2"/>
  <c r="H700" i="2" s="1"/>
  <c r="G688" i="2"/>
  <c r="H688" i="2" s="1"/>
  <c r="G676" i="2"/>
  <c r="H676" i="2" s="1"/>
  <c r="G664" i="2"/>
  <c r="H664" i="2" s="1"/>
  <c r="G652" i="2"/>
  <c r="H652" i="2" s="1"/>
  <c r="G640" i="2"/>
  <c r="H640" i="2" s="1"/>
  <c r="G628" i="2"/>
  <c r="H628" i="2" s="1"/>
  <c r="G616" i="2"/>
  <c r="H616" i="2" s="1"/>
  <c r="G604" i="2"/>
  <c r="H604" i="2" s="1"/>
  <c r="G592" i="2"/>
  <c r="H592" i="2" s="1"/>
  <c r="G580" i="2"/>
  <c r="H580" i="2" s="1"/>
  <c r="G568" i="2"/>
  <c r="H568" i="2" s="1"/>
  <c r="G556" i="2"/>
  <c r="H556" i="2" s="1"/>
  <c r="G544" i="2"/>
  <c r="H544" i="2" s="1"/>
  <c r="G532" i="2"/>
  <c r="H532" i="2" s="1"/>
  <c r="G520" i="2"/>
  <c r="H520" i="2" s="1"/>
  <c r="G508" i="2"/>
  <c r="H508" i="2" s="1"/>
  <c r="G496" i="2"/>
  <c r="H496" i="2" s="1"/>
  <c r="G484" i="2"/>
  <c r="H484" i="2" s="1"/>
  <c r="G472" i="2"/>
  <c r="H472" i="2" s="1"/>
  <c r="G460" i="2"/>
  <c r="H460" i="2" s="1"/>
  <c r="G448" i="2"/>
  <c r="H448" i="2" s="1"/>
  <c r="G436" i="2"/>
  <c r="H436" i="2" s="1"/>
  <c r="G424" i="2"/>
  <c r="H424" i="2" s="1"/>
  <c r="G412" i="2"/>
  <c r="H412" i="2" s="1"/>
  <c r="G400" i="2"/>
  <c r="H400" i="2" s="1"/>
  <c r="G388" i="2"/>
  <c r="H388" i="2" s="1"/>
  <c r="G376" i="2"/>
  <c r="H376" i="2" s="1"/>
  <c r="G364" i="2"/>
  <c r="H364" i="2" s="1"/>
  <c r="G352" i="2"/>
  <c r="H352" i="2" s="1"/>
  <c r="G340" i="2"/>
  <c r="H340" i="2" s="1"/>
  <c r="G328" i="2"/>
  <c r="H328" i="2" s="1"/>
  <c r="G316" i="2"/>
  <c r="H316" i="2" s="1"/>
  <c r="G304" i="2"/>
  <c r="H304" i="2" s="1"/>
  <c r="G292" i="2"/>
  <c r="H292" i="2" s="1"/>
  <c r="G280" i="2"/>
  <c r="H280" i="2" s="1"/>
  <c r="G268" i="2"/>
  <c r="H268" i="2" s="1"/>
  <c r="G256" i="2"/>
  <c r="H256" i="2" s="1"/>
  <c r="G244" i="2"/>
  <c r="H244" i="2" s="1"/>
  <c r="G232" i="2"/>
  <c r="H232" i="2" s="1"/>
  <c r="G220" i="2"/>
  <c r="H220" i="2" s="1"/>
  <c r="G208" i="2"/>
  <c r="H208" i="2" s="1"/>
  <c r="G196" i="2"/>
  <c r="H196" i="2" s="1"/>
  <c r="G184" i="2"/>
  <c r="H184" i="2" s="1"/>
  <c r="G172" i="2"/>
  <c r="H172" i="2" s="1"/>
  <c r="G160" i="2"/>
  <c r="H160" i="2" s="1"/>
  <c r="G148" i="2"/>
  <c r="H148" i="2" s="1"/>
  <c r="G136" i="2"/>
  <c r="H136" i="2" s="1"/>
  <c r="G124" i="2"/>
  <c r="H124" i="2" s="1"/>
  <c r="G112" i="2"/>
  <c r="H112" i="2" s="1"/>
  <c r="G100" i="2"/>
  <c r="H100" i="2" s="1"/>
  <c r="G88" i="2"/>
  <c r="H88" i="2" s="1"/>
  <c r="G76" i="2"/>
  <c r="H76" i="2" s="1"/>
  <c r="G64" i="2"/>
  <c r="H64" i="2" s="1"/>
  <c r="G52" i="2"/>
  <c r="H52" i="2" s="1"/>
  <c r="G40" i="2"/>
  <c r="H40" i="2" s="1"/>
  <c r="G378" i="2"/>
  <c r="H378" i="2" s="1"/>
  <c r="G342" i="2"/>
  <c r="H342" i="2" s="1"/>
  <c r="G306" i="2"/>
  <c r="H306" i="2" s="1"/>
  <c r="G258" i="2"/>
  <c r="H258" i="2" s="1"/>
  <c r="G222" i="2"/>
  <c r="H222" i="2" s="1"/>
  <c r="G174" i="2"/>
  <c r="H174" i="2" s="1"/>
  <c r="G138" i="2"/>
  <c r="H138" i="2" s="1"/>
  <c r="G90" i="2"/>
  <c r="H90" i="2" s="1"/>
  <c r="G66" i="2"/>
  <c r="H66" i="2" s="1"/>
  <c r="G737" i="2"/>
  <c r="H737" i="2" s="1"/>
  <c r="G689" i="2"/>
  <c r="H689" i="2" s="1"/>
  <c r="G629" i="2"/>
  <c r="H629" i="2" s="1"/>
  <c r="G593" i="2"/>
  <c r="H593" i="2" s="1"/>
  <c r="G545" i="2"/>
  <c r="H545" i="2" s="1"/>
  <c r="G497" i="2"/>
  <c r="H497" i="2" s="1"/>
  <c r="G449" i="2"/>
  <c r="H449" i="2" s="1"/>
  <c r="G401" i="2"/>
  <c r="H401" i="2" s="1"/>
  <c r="G365" i="2"/>
  <c r="H365" i="2" s="1"/>
  <c r="G317" i="2"/>
  <c r="H317" i="2" s="1"/>
  <c r="G269" i="2"/>
  <c r="H269" i="2" s="1"/>
  <c r="G209" i="2"/>
  <c r="H209" i="2" s="1"/>
  <c r="G149" i="2"/>
  <c r="H149" i="2" s="1"/>
  <c r="G125" i="2"/>
  <c r="H125" i="2" s="1"/>
  <c r="G101" i="2"/>
  <c r="H101" i="2" s="1"/>
  <c r="G77" i="2"/>
  <c r="H77" i="2" s="1"/>
  <c r="G41" i="2"/>
  <c r="H41" i="2" s="1"/>
  <c r="G735" i="2"/>
  <c r="H735" i="2" s="1"/>
  <c r="G723" i="2"/>
  <c r="H723" i="2" s="1"/>
  <c r="G711" i="2"/>
  <c r="H711" i="2" s="1"/>
  <c r="G699" i="2"/>
  <c r="H699" i="2" s="1"/>
  <c r="G687" i="2"/>
  <c r="H687" i="2" s="1"/>
  <c r="G675" i="2"/>
  <c r="H675" i="2" s="1"/>
  <c r="G663" i="2"/>
  <c r="H663" i="2" s="1"/>
  <c r="G651" i="2"/>
  <c r="H651" i="2" s="1"/>
  <c r="G639" i="2"/>
  <c r="H639" i="2" s="1"/>
  <c r="G627" i="2"/>
  <c r="H627" i="2" s="1"/>
  <c r="G615" i="2"/>
  <c r="H615" i="2" s="1"/>
  <c r="G603" i="2"/>
  <c r="H603" i="2" s="1"/>
  <c r="G591" i="2"/>
  <c r="H591" i="2" s="1"/>
  <c r="G579" i="2"/>
  <c r="H579" i="2" s="1"/>
  <c r="G567" i="2"/>
  <c r="H567" i="2" s="1"/>
  <c r="G555" i="2"/>
  <c r="H555" i="2" s="1"/>
  <c r="G543" i="2"/>
  <c r="H543" i="2" s="1"/>
  <c r="G531" i="2"/>
  <c r="H531" i="2" s="1"/>
  <c r="G519" i="2"/>
  <c r="H519" i="2" s="1"/>
  <c r="G507" i="2"/>
  <c r="H507" i="2" s="1"/>
  <c r="G495" i="2"/>
  <c r="H495" i="2" s="1"/>
  <c r="G483" i="2"/>
  <c r="H483" i="2" s="1"/>
  <c r="G471" i="2"/>
  <c r="H471" i="2" s="1"/>
  <c r="G459" i="2"/>
  <c r="H459" i="2" s="1"/>
  <c r="G447" i="2"/>
  <c r="H447" i="2" s="1"/>
  <c r="G435" i="2"/>
  <c r="H435" i="2" s="1"/>
  <c r="G423" i="2"/>
  <c r="H423" i="2" s="1"/>
  <c r="G411" i="2"/>
  <c r="H411" i="2" s="1"/>
  <c r="G399" i="2"/>
  <c r="H399" i="2" s="1"/>
  <c r="G387" i="2"/>
  <c r="H387" i="2" s="1"/>
  <c r="G375" i="2"/>
  <c r="H375" i="2" s="1"/>
  <c r="G363" i="2"/>
  <c r="H363" i="2" s="1"/>
  <c r="G351" i="2"/>
  <c r="H351" i="2" s="1"/>
  <c r="G339" i="2"/>
  <c r="H339" i="2" s="1"/>
  <c r="G327" i="2"/>
  <c r="H327" i="2" s="1"/>
  <c r="G315" i="2"/>
  <c r="H315" i="2" s="1"/>
  <c r="G303" i="2"/>
  <c r="H303" i="2" s="1"/>
  <c r="G291" i="2"/>
  <c r="H291" i="2" s="1"/>
  <c r="G279" i="2"/>
  <c r="H279" i="2" s="1"/>
  <c r="G267" i="2"/>
  <c r="H267" i="2" s="1"/>
  <c r="G255" i="2"/>
  <c r="H255" i="2" s="1"/>
  <c r="G243" i="2"/>
  <c r="H243" i="2" s="1"/>
  <c r="G231" i="2"/>
  <c r="H231" i="2" s="1"/>
  <c r="G219" i="2"/>
  <c r="H219" i="2" s="1"/>
  <c r="G207" i="2"/>
  <c r="H207" i="2" s="1"/>
  <c r="G195" i="2"/>
  <c r="H195" i="2" s="1"/>
  <c r="G183" i="2"/>
  <c r="H183" i="2" s="1"/>
  <c r="G171" i="2"/>
  <c r="H171" i="2" s="1"/>
  <c r="G159" i="2"/>
  <c r="H159" i="2" s="1"/>
  <c r="G147" i="2"/>
  <c r="H147" i="2" s="1"/>
  <c r="G135" i="2"/>
  <c r="H135" i="2" s="1"/>
  <c r="G123" i="2"/>
  <c r="H123" i="2" s="1"/>
  <c r="G111" i="2"/>
  <c r="H111" i="2" s="1"/>
  <c r="G99" i="2"/>
  <c r="H99" i="2" s="1"/>
  <c r="G87" i="2"/>
  <c r="H87" i="2" s="1"/>
  <c r="G75" i="2"/>
  <c r="H75" i="2" s="1"/>
  <c r="G63" i="2"/>
  <c r="H63" i="2" s="1"/>
  <c r="G51" i="2"/>
  <c r="H51" i="2" s="1"/>
  <c r="G39" i="2"/>
  <c r="H39" i="2" s="1"/>
  <c r="G390" i="2"/>
  <c r="H390" i="2" s="1"/>
  <c r="G330" i="2"/>
  <c r="H330" i="2" s="1"/>
  <c r="G294" i="2"/>
  <c r="H294" i="2" s="1"/>
  <c r="G246" i="2"/>
  <c r="H246" i="2" s="1"/>
  <c r="G186" i="2"/>
  <c r="H186" i="2" s="1"/>
  <c r="G150" i="2"/>
  <c r="H150" i="2" s="1"/>
  <c r="G114" i="2"/>
  <c r="H114" i="2" s="1"/>
  <c r="G78" i="2"/>
  <c r="H78" i="2" s="1"/>
  <c r="G42" i="2"/>
  <c r="H42" i="2" s="1"/>
  <c r="G713" i="2"/>
  <c r="H713" i="2" s="1"/>
  <c r="G665" i="2"/>
  <c r="H665" i="2" s="1"/>
  <c r="G617" i="2"/>
  <c r="H617" i="2" s="1"/>
  <c r="G569" i="2"/>
  <c r="H569" i="2" s="1"/>
  <c r="G521" i="2"/>
  <c r="H521" i="2" s="1"/>
  <c r="G485" i="2"/>
  <c r="H485" i="2" s="1"/>
  <c r="G437" i="2"/>
  <c r="H437" i="2" s="1"/>
  <c r="G377" i="2"/>
  <c r="H377" i="2" s="1"/>
  <c r="G341" i="2"/>
  <c r="H341" i="2" s="1"/>
  <c r="G293" i="2"/>
  <c r="H293" i="2" s="1"/>
  <c r="G245" i="2"/>
  <c r="H245" i="2" s="1"/>
  <c r="G197" i="2"/>
  <c r="H197" i="2" s="1"/>
  <c r="G161" i="2"/>
  <c r="H161" i="2" s="1"/>
  <c r="G137" i="2"/>
  <c r="H137" i="2" s="1"/>
  <c r="G113" i="2"/>
  <c r="H113" i="2" s="1"/>
  <c r="G89" i="2"/>
  <c r="H89" i="2" s="1"/>
  <c r="G65" i="2"/>
  <c r="H65" i="2" s="1"/>
  <c r="G734" i="2"/>
  <c r="H734" i="2" s="1"/>
  <c r="G722" i="2"/>
  <c r="H722" i="2" s="1"/>
  <c r="G710" i="2"/>
  <c r="H710" i="2" s="1"/>
  <c r="G698" i="2"/>
  <c r="H698" i="2" s="1"/>
  <c r="G686" i="2"/>
  <c r="H686" i="2" s="1"/>
  <c r="G674" i="2"/>
  <c r="H674" i="2" s="1"/>
  <c r="G662" i="2"/>
  <c r="H662" i="2" s="1"/>
  <c r="G650" i="2"/>
  <c r="H650" i="2" s="1"/>
  <c r="G638" i="2"/>
  <c r="H638" i="2" s="1"/>
  <c r="G626" i="2"/>
  <c r="H626" i="2" s="1"/>
  <c r="G614" i="2"/>
  <c r="H614" i="2" s="1"/>
  <c r="G602" i="2"/>
  <c r="H602" i="2" s="1"/>
  <c r="G590" i="2"/>
  <c r="H590" i="2" s="1"/>
  <c r="G578" i="2"/>
  <c r="H578" i="2" s="1"/>
  <c r="G566" i="2"/>
  <c r="H566" i="2" s="1"/>
  <c r="G554" i="2"/>
  <c r="H554" i="2" s="1"/>
  <c r="G542" i="2"/>
  <c r="H542" i="2" s="1"/>
  <c r="G530" i="2"/>
  <c r="H530" i="2" s="1"/>
  <c r="G518" i="2"/>
  <c r="H518" i="2" s="1"/>
  <c r="G506" i="2"/>
  <c r="H506" i="2" s="1"/>
  <c r="G494" i="2"/>
  <c r="H494" i="2" s="1"/>
  <c r="G482" i="2"/>
  <c r="H482" i="2" s="1"/>
  <c r="G470" i="2"/>
  <c r="H470" i="2" s="1"/>
  <c r="G458" i="2"/>
  <c r="H458" i="2" s="1"/>
  <c r="G446" i="2"/>
  <c r="H446" i="2" s="1"/>
  <c r="G434" i="2"/>
  <c r="H434" i="2" s="1"/>
  <c r="G422" i="2"/>
  <c r="H422" i="2" s="1"/>
  <c r="G410" i="2"/>
  <c r="H410" i="2" s="1"/>
  <c r="G398" i="2"/>
  <c r="H398" i="2" s="1"/>
  <c r="G386" i="2"/>
  <c r="H386" i="2" s="1"/>
  <c r="G374" i="2"/>
  <c r="H374" i="2" s="1"/>
  <c r="G362" i="2"/>
  <c r="H362" i="2" s="1"/>
  <c r="G350" i="2"/>
  <c r="H350" i="2" s="1"/>
  <c r="G338" i="2"/>
  <c r="H338" i="2" s="1"/>
  <c r="G326" i="2"/>
  <c r="H326" i="2" s="1"/>
  <c r="G314" i="2"/>
  <c r="H314" i="2" s="1"/>
  <c r="G302" i="2"/>
  <c r="H302" i="2" s="1"/>
  <c r="G290" i="2"/>
  <c r="H290" i="2" s="1"/>
  <c r="G278" i="2"/>
  <c r="H278" i="2" s="1"/>
  <c r="G266" i="2"/>
  <c r="H266" i="2" s="1"/>
  <c r="G254" i="2"/>
  <c r="H254" i="2" s="1"/>
  <c r="G242" i="2"/>
  <c r="H242" i="2" s="1"/>
  <c r="G230" i="2"/>
  <c r="H230" i="2" s="1"/>
  <c r="G218" i="2"/>
  <c r="H218" i="2" s="1"/>
  <c r="G206" i="2"/>
  <c r="H206" i="2" s="1"/>
  <c r="G194" i="2"/>
  <c r="H194" i="2" s="1"/>
  <c r="G182" i="2"/>
  <c r="H182" i="2" s="1"/>
  <c r="G170" i="2"/>
  <c r="H170" i="2" s="1"/>
  <c r="G158" i="2"/>
  <c r="H158" i="2" s="1"/>
  <c r="G146" i="2"/>
  <c r="H146" i="2" s="1"/>
  <c r="G134" i="2"/>
  <c r="H134" i="2" s="1"/>
  <c r="G122" i="2"/>
  <c r="H122" i="2" s="1"/>
  <c r="G110" i="2"/>
  <c r="H110" i="2" s="1"/>
  <c r="G98" i="2"/>
  <c r="H98" i="2" s="1"/>
  <c r="G86" i="2"/>
  <c r="H86" i="2" s="1"/>
  <c r="G74" i="2"/>
  <c r="H74" i="2" s="1"/>
  <c r="G62" i="2"/>
  <c r="H62" i="2" s="1"/>
  <c r="G50" i="2"/>
  <c r="H50" i="2" s="1"/>
  <c r="G36" i="2"/>
  <c r="H36" i="2" s="1"/>
  <c r="G594" i="2"/>
  <c r="H594" i="2" s="1"/>
  <c r="G582" i="2"/>
  <c r="H582" i="2" s="1"/>
  <c r="G570" i="2"/>
  <c r="H570" i="2" s="1"/>
  <c r="G558" i="2"/>
  <c r="H558" i="2" s="1"/>
  <c r="G546" i="2"/>
  <c r="H546" i="2" s="1"/>
  <c r="G534" i="2"/>
  <c r="H534" i="2" s="1"/>
  <c r="G522" i="2"/>
  <c r="H522" i="2" s="1"/>
  <c r="G510" i="2"/>
  <c r="H510" i="2" s="1"/>
  <c r="G498" i="2"/>
  <c r="H498" i="2" s="1"/>
  <c r="G462" i="2"/>
  <c r="H462" i="2" s="1"/>
  <c r="G426" i="2"/>
  <c r="H426" i="2" s="1"/>
  <c r="G354" i="2"/>
  <c r="H354" i="2" s="1"/>
  <c r="G282" i="2"/>
  <c r="H282" i="2" s="1"/>
  <c r="G210" i="2"/>
  <c r="H210" i="2" s="1"/>
  <c r="G701" i="2"/>
  <c r="H701" i="2" s="1"/>
  <c r="G653" i="2"/>
  <c r="H653" i="2" s="1"/>
  <c r="G581" i="2"/>
  <c r="H581" i="2" s="1"/>
  <c r="G533" i="2"/>
  <c r="H533" i="2" s="1"/>
  <c r="G461" i="2"/>
  <c r="H461" i="2" s="1"/>
  <c r="G413" i="2"/>
  <c r="H413" i="2" s="1"/>
  <c r="G353" i="2"/>
  <c r="H353" i="2" s="1"/>
  <c r="G281" i="2"/>
  <c r="H281" i="2" s="1"/>
  <c r="G233" i="2"/>
  <c r="H233" i="2" s="1"/>
  <c r="G173" i="2"/>
  <c r="H173" i="2" s="1"/>
  <c r="G53" i="2"/>
  <c r="H53" i="2" s="1"/>
  <c r="G5" i="2"/>
  <c r="H5" i="2" s="1"/>
  <c r="G733" i="2"/>
  <c r="H733" i="2" s="1"/>
  <c r="G721" i="2"/>
  <c r="H721" i="2" s="1"/>
  <c r="G709" i="2"/>
  <c r="H709" i="2" s="1"/>
  <c r="G697" i="2"/>
  <c r="H697" i="2" s="1"/>
  <c r="G685" i="2"/>
  <c r="H685" i="2" s="1"/>
  <c r="G673" i="2"/>
  <c r="H673" i="2" s="1"/>
  <c r="G661" i="2"/>
  <c r="H661" i="2" s="1"/>
  <c r="G649" i="2"/>
  <c r="H649" i="2" s="1"/>
  <c r="G637" i="2"/>
  <c r="H637" i="2" s="1"/>
  <c r="G625" i="2"/>
  <c r="H625" i="2" s="1"/>
  <c r="G613" i="2"/>
  <c r="H613" i="2" s="1"/>
  <c r="G601" i="2"/>
  <c r="H601" i="2" s="1"/>
  <c r="G589" i="2"/>
  <c r="H589" i="2" s="1"/>
  <c r="G577" i="2"/>
  <c r="H577" i="2" s="1"/>
  <c r="G565" i="2"/>
  <c r="H565" i="2" s="1"/>
  <c r="G553" i="2"/>
  <c r="H553" i="2" s="1"/>
  <c r="G541" i="2"/>
  <c r="H541" i="2" s="1"/>
  <c r="G529" i="2"/>
  <c r="H529" i="2" s="1"/>
  <c r="G517" i="2"/>
  <c r="H517" i="2" s="1"/>
  <c r="G505" i="2"/>
  <c r="H505" i="2" s="1"/>
  <c r="G493" i="2"/>
  <c r="H493" i="2" s="1"/>
  <c r="G481" i="2"/>
  <c r="H481" i="2" s="1"/>
  <c r="G469" i="2"/>
  <c r="H469" i="2" s="1"/>
  <c r="G457" i="2"/>
  <c r="H457" i="2" s="1"/>
  <c r="G445" i="2"/>
  <c r="H445" i="2" s="1"/>
  <c r="G433" i="2"/>
  <c r="H433" i="2" s="1"/>
  <c r="G421" i="2"/>
  <c r="H421" i="2" s="1"/>
  <c r="G409" i="2"/>
  <c r="H409" i="2" s="1"/>
  <c r="G397" i="2"/>
  <c r="H397" i="2" s="1"/>
  <c r="G385" i="2"/>
  <c r="H385" i="2" s="1"/>
  <c r="G373" i="2"/>
  <c r="H373" i="2" s="1"/>
  <c r="G361" i="2"/>
  <c r="H361" i="2" s="1"/>
  <c r="G349" i="2"/>
  <c r="H349" i="2" s="1"/>
  <c r="G337" i="2"/>
  <c r="H337" i="2" s="1"/>
  <c r="G325" i="2"/>
  <c r="H325" i="2" s="1"/>
  <c r="G313" i="2"/>
  <c r="H313" i="2" s="1"/>
  <c r="G301" i="2"/>
  <c r="H301" i="2" s="1"/>
  <c r="G289" i="2"/>
  <c r="H289" i="2" s="1"/>
  <c r="G277" i="2"/>
  <c r="H277" i="2" s="1"/>
  <c r="G265" i="2"/>
  <c r="H265" i="2" s="1"/>
  <c r="G253" i="2"/>
  <c r="H253" i="2" s="1"/>
  <c r="G241" i="2"/>
  <c r="H241" i="2" s="1"/>
  <c r="G229" i="2"/>
  <c r="H229" i="2" s="1"/>
  <c r="G217" i="2"/>
  <c r="H217" i="2" s="1"/>
  <c r="G205" i="2"/>
  <c r="H205" i="2" s="1"/>
  <c r="G193" i="2"/>
  <c r="H193" i="2" s="1"/>
  <c r="G181" i="2"/>
  <c r="H181" i="2" s="1"/>
  <c r="G169" i="2"/>
  <c r="H169" i="2" s="1"/>
  <c r="G157" i="2"/>
  <c r="H157" i="2" s="1"/>
  <c r="G145" i="2"/>
  <c r="H145" i="2" s="1"/>
  <c r="G133" i="2"/>
  <c r="H133" i="2" s="1"/>
  <c r="G121" i="2"/>
  <c r="H121" i="2" s="1"/>
  <c r="G109" i="2"/>
  <c r="H109" i="2" s="1"/>
  <c r="G97" i="2"/>
  <c r="H97" i="2" s="1"/>
  <c r="G85" i="2"/>
  <c r="H85" i="2" s="1"/>
  <c r="G73" i="2"/>
  <c r="H73" i="2" s="1"/>
  <c r="G61" i="2"/>
  <c r="H61" i="2" s="1"/>
  <c r="G49" i="2"/>
  <c r="H49" i="2" s="1"/>
  <c r="G30" i="2"/>
  <c r="H30" i="2" s="1"/>
  <c r="G27" i="2"/>
  <c r="H27" i="2" s="1"/>
  <c r="G26" i="2"/>
  <c r="H26" i="2" s="1"/>
  <c r="G15" i="2"/>
  <c r="H15" i="2" s="1"/>
  <c r="G38" i="2"/>
  <c r="H38" i="2" s="1"/>
  <c r="G37" i="2"/>
  <c r="H37" i="2" s="1"/>
  <c r="G35" i="2"/>
  <c r="H35" i="2" s="1"/>
  <c r="G34" i="2"/>
  <c r="H34" i="2" s="1"/>
  <c r="G16" i="2"/>
  <c r="H16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24" i="2"/>
  <c r="H24" i="2" s="1"/>
  <c r="G23" i="2"/>
  <c r="H23" i="2" s="1"/>
  <c r="G22" i="2"/>
  <c r="H22" i="2" s="1"/>
  <c r="G21" i="2"/>
  <c r="H21" i="2" s="1"/>
  <c r="G14" i="2"/>
  <c r="H14" i="2" s="1"/>
  <c r="G19" i="2"/>
  <c r="H19" i="2" s="1"/>
  <c r="G18" i="2"/>
  <c r="H18" i="2" s="1"/>
  <c r="G20" i="2"/>
  <c r="H20" i="2" s="1"/>
  <c r="G17" i="2"/>
  <c r="H17" i="2" s="1"/>
  <c r="G7" i="2"/>
  <c r="H7" i="2" s="1"/>
  <c r="G6" i="2"/>
  <c r="E11" i="3" s="1"/>
  <c r="E18" i="3" s="1"/>
  <c r="E19" i="3" s="1"/>
  <c r="E2" i="3"/>
  <c r="H6" i="2" l="1"/>
  <c r="B16" i="3"/>
  <c r="B15" i="3"/>
  <c r="F11" i="3"/>
  <c r="B12" i="3"/>
  <c r="B11" i="3"/>
  <c r="B10" i="3"/>
  <c r="E12" i="3"/>
  <c r="E21" i="3" l="1"/>
  <c r="E22" i="3" s="1"/>
  <c r="F21" i="3"/>
  <c r="F22" i="3" s="1"/>
  <c r="F12" i="3"/>
  <c r="F18" i="3"/>
  <c r="F19" i="3" s="1"/>
  <c r="F14" i="3"/>
  <c r="F15" i="3" s="1"/>
  <c r="E14" i="3"/>
  <c r="E15" i="3" s="1"/>
</calcChain>
</file>

<file path=xl/sharedStrings.xml><?xml version="1.0" encoding="utf-8"?>
<sst xmlns="http://schemas.openxmlformats.org/spreadsheetml/2006/main" count="103" uniqueCount="71">
  <si>
    <t>Date</t>
  </si>
  <si>
    <t>AXISBANK.NS</t>
  </si>
  <si>
    <t>HDFCBANK.NS</t>
  </si>
  <si>
    <t>ICICIBANK.NS</t>
  </si>
  <si>
    <t>INFY.NS</t>
  </si>
  <si>
    <t>M&amp;M.NS</t>
  </si>
  <si>
    <t>AXISBANK</t>
  </si>
  <si>
    <t>HDFCBANK</t>
  </si>
  <si>
    <t>ICICI</t>
  </si>
  <si>
    <t>INFY</t>
  </si>
  <si>
    <t>M&amp;M</t>
  </si>
  <si>
    <t>Stock</t>
  </si>
  <si>
    <t>Ticker</t>
  </si>
  <si>
    <t>Holding %</t>
  </si>
  <si>
    <t>Normalised Weight</t>
  </si>
  <si>
    <t>Investment</t>
  </si>
  <si>
    <t>HDFC Bank</t>
  </si>
  <si>
    <t>ICICI Bank</t>
  </si>
  <si>
    <t>ICICIBANK</t>
  </si>
  <si>
    <t>Infosys</t>
  </si>
  <si>
    <t>Axis Bank</t>
  </si>
  <si>
    <t>Mahindra &amp; Mahindra</t>
  </si>
  <si>
    <t>STOCK</t>
  </si>
  <si>
    <t>WEIGHT</t>
  </si>
  <si>
    <t>Portfolio Return</t>
  </si>
  <si>
    <t>Portfolio P&amp;L</t>
  </si>
  <si>
    <t>Portfolio Statistics</t>
  </si>
  <si>
    <t>Average Daily Return</t>
  </si>
  <si>
    <t>Daily Volatility</t>
  </si>
  <si>
    <t>Observations</t>
  </si>
  <si>
    <t>95% Confidence</t>
  </si>
  <si>
    <t>99% Confidence</t>
  </si>
  <si>
    <t>Z-score (95%)</t>
  </si>
  <si>
    <t>Z-score (99%)</t>
  </si>
  <si>
    <t>Skewness</t>
  </si>
  <si>
    <t>Excess Kurtosis</t>
  </si>
  <si>
    <t>φ(Z) (95%)</t>
  </si>
  <si>
    <t>φ(Z) (99%)</t>
  </si>
  <si>
    <t>Risk Measure</t>
  </si>
  <si>
    <t>Historical VaR (%)</t>
  </si>
  <si>
    <t>Historical VaR (₹)</t>
  </si>
  <si>
    <t>Parametric VaR (%)</t>
  </si>
  <si>
    <t>Parametric VaR (₹)</t>
  </si>
  <si>
    <t>Historical ES (%)</t>
  </si>
  <si>
    <t>Historical ES (₹)</t>
  </si>
  <si>
    <t>Parametric ES (%)</t>
  </si>
  <si>
    <t>Parametric ES (₹)</t>
  </si>
  <si>
    <t>Historical VaR 95%</t>
  </si>
  <si>
    <t>Historical Breach 95%</t>
  </si>
  <si>
    <t xml:space="preserve">Parametric VaR 95% </t>
  </si>
  <si>
    <t>Parametric Breach 95%</t>
  </si>
  <si>
    <t>Historical VaR 99%</t>
  </si>
  <si>
    <t>Historical Breach 99%</t>
  </si>
  <si>
    <t>Parametric VaR 99%</t>
  </si>
  <si>
    <t>Parametric Breach 99%</t>
  </si>
  <si>
    <t>Confidence Level</t>
  </si>
  <si>
    <t>Method</t>
  </si>
  <si>
    <t>Breaches</t>
  </si>
  <si>
    <t>Expected Rate</t>
  </si>
  <si>
    <t>Observed Rate</t>
  </si>
  <si>
    <t>LR Statistic</t>
  </si>
  <si>
    <t>Conclusion</t>
  </si>
  <si>
    <t>p-value</t>
  </si>
  <si>
    <t>Historical</t>
  </si>
  <si>
    <t>Parametric</t>
  </si>
  <si>
    <t>VaR (%)</t>
  </si>
  <si>
    <t>VaR (₹)</t>
  </si>
  <si>
    <t>ES (%)</t>
  </si>
  <si>
    <t>ES (₹)</t>
  </si>
  <si>
    <t>Historical Method</t>
  </si>
  <si>
    <t>Parametric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</si>
</sst>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yyyy\-mm\-dd\ hh:mm:ss"/>
    <numFmt numFmtId="165" formatCode="yyyy\-mm\-dd;@"/>
    <numFmt numFmtId="166" formatCode="0.0%"/>
    <numFmt numFmtId="167" formatCode="0.0000%"/>
    <numFmt numFmtId="168" formatCode="_ [$₹-4009]\ * #,##0.00_ ;_ [$₹-4009]\ * \-#,##0.00_ ;_ [$₹-4009]\ * &quot;-&quot;??_ ;_ @_ "/>
    <numFmt numFmtId="169" formatCode="0.0000"/>
    <numFmt numFmtId="170" formatCode="0.000"/>
    <numFmt numFmtId="192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8" fontId="2" fillId="0" borderId="0" xfId="0" applyNumberFormat="1" applyFont="1"/>
    <xf numFmtId="10" fontId="0" fillId="0" borderId="0" xfId="0" applyNumberFormat="1"/>
    <xf numFmtId="167" fontId="0" fillId="0" borderId="0" xfId="1" applyNumberFormat="1" applyFont="1"/>
    <xf numFmtId="169" fontId="0" fillId="0" borderId="0" xfId="0" applyNumberFormat="1"/>
    <xf numFmtId="170" fontId="0" fillId="0" borderId="0" xfId="0" applyNumberFormat="1"/>
    <xf numFmtId="0" fontId="2" fillId="0" borderId="0" xfId="0" applyFont="1"/>
    <xf numFmtId="0" fontId="3" fillId="0" borderId="0" xfId="0" applyFont="1"/>
    <xf numFmtId="9" fontId="0" fillId="0" borderId="0" xfId="0" applyNumberFormat="1"/>
    <xf numFmtId="0" fontId="3" fillId="0" borderId="0" xfId="0" applyFont="1" applyAlignment="1">
      <alignment horizontal="center"/>
    </xf>
    <xf numFmtId="9" fontId="0" fillId="0" borderId="0" xfId="1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8" fontId="0" fillId="0" borderId="0" xfId="2" applyNumberFormat="1" applyFont="1" applyAlignment="1">
      <alignment horizontal="right" vertical="center"/>
    </xf>
    <xf numFmtId="168" fontId="0" fillId="0" borderId="0" xfId="2" applyNumberFormat="1" applyFont="1" applyAlignment="1">
      <alignment vertical="center"/>
    </xf>
    <xf numFmtId="0" fontId="2" fillId="0" borderId="0" xfId="0" applyFont="1" applyAlignment="1">
      <alignment horizontal="center"/>
    </xf>
    <xf numFmtId="167" fontId="0" fillId="0" borderId="0" xfId="0" applyNumberFormat="1" applyAlignment="1">
      <alignment vertical="center"/>
    </xf>
    <xf numFmtId="192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72AD-455F-46A8-B79E-F95280BA6F07}">
  <dimension ref="A1:F22"/>
  <sheetViews>
    <sheetView workbookViewId="0">
      <selection activeCell="D22" sqref="D22"/>
    </sheetView>
  </sheetViews>
  <sheetFormatPr defaultRowHeight="15" x14ac:dyDescent="0.25"/>
  <cols>
    <col min="1" max="1" width="20.42578125" bestFit="1" customWidth="1"/>
    <col min="2" max="2" width="10.7109375" bestFit="1" customWidth="1"/>
    <col min="3" max="3" width="9.85546875" bestFit="1" customWidth="1"/>
    <col min="4" max="4" width="18.42578125" bestFit="1" customWidth="1"/>
    <col min="5" max="5" width="17.42578125" bestFit="1" customWidth="1"/>
    <col min="6" max="6" width="15.28515625" bestFit="1" customWidth="1"/>
  </cols>
  <sheetData>
    <row r="1" spans="1:6" x14ac:dyDescent="0.25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</row>
    <row r="2" spans="1:6" x14ac:dyDescent="0.25">
      <c r="A2" t="s">
        <v>16</v>
      </c>
      <c r="B2" t="s">
        <v>7</v>
      </c>
      <c r="C2" s="4">
        <v>2.4E-2</v>
      </c>
      <c r="D2" s="5">
        <f>C2/$C$7</f>
        <v>0.2105263157894737</v>
      </c>
      <c r="E2" s="6">
        <f>$E$7*D2</f>
        <v>210526.31578947371</v>
      </c>
    </row>
    <row r="3" spans="1:6" x14ac:dyDescent="0.25">
      <c r="A3" t="s">
        <v>17</v>
      </c>
      <c r="B3" t="s">
        <v>18</v>
      </c>
      <c r="C3" s="4">
        <v>2.1000000000000001E-2</v>
      </c>
      <c r="D3" s="5">
        <f>C3/$C$7</f>
        <v>0.18421052631578949</v>
      </c>
      <c r="E3" s="6">
        <f>$E$7*D3</f>
        <v>184210.5263157895</v>
      </c>
    </row>
    <row r="4" spans="1:6" x14ac:dyDescent="0.25">
      <c r="A4" t="s">
        <v>19</v>
      </c>
      <c r="B4" t="s">
        <v>9</v>
      </c>
      <c r="C4" s="4">
        <v>2.5999999999999999E-2</v>
      </c>
      <c r="D4" s="5">
        <f>C4/$C$7</f>
        <v>0.22807017543859651</v>
      </c>
      <c r="E4" s="6">
        <f>$E$7*D4</f>
        <v>228070.17543859652</v>
      </c>
    </row>
    <row r="5" spans="1:6" x14ac:dyDescent="0.25">
      <c r="A5" t="s">
        <v>20</v>
      </c>
      <c r="B5" t="s">
        <v>6</v>
      </c>
      <c r="C5" s="4">
        <v>2.1000000000000001E-2</v>
      </c>
      <c r="D5" s="5">
        <f>C5/$C$7</f>
        <v>0.18421052631578949</v>
      </c>
      <c r="E5" s="6">
        <f>$E$7*D5</f>
        <v>184210.5263157895</v>
      </c>
    </row>
    <row r="6" spans="1:6" x14ac:dyDescent="0.25">
      <c r="A6" t="s">
        <v>21</v>
      </c>
      <c r="B6" t="s">
        <v>10</v>
      </c>
      <c r="C6" s="4">
        <v>2.1999999999999999E-2</v>
      </c>
      <c r="D6" s="5">
        <f>C6/$C$7</f>
        <v>0.19298245614035089</v>
      </c>
      <c r="E6" s="6">
        <f>$E$7*D6</f>
        <v>192982.4561403509</v>
      </c>
    </row>
    <row r="7" spans="1:6" x14ac:dyDescent="0.25">
      <c r="C7" s="4">
        <f>SUM(C2:C6)</f>
        <v>0.11399999999999999</v>
      </c>
      <c r="D7" s="14">
        <f>SUM(D2:D6)</f>
        <v>1</v>
      </c>
      <c r="E7" s="7">
        <v>1000000</v>
      </c>
    </row>
    <row r="9" spans="1:6" x14ac:dyDescent="0.25">
      <c r="A9" s="15" t="s">
        <v>26</v>
      </c>
      <c r="B9" s="15"/>
      <c r="C9" s="15"/>
      <c r="D9" s="15"/>
      <c r="E9" s="15"/>
      <c r="F9" s="15"/>
    </row>
    <row r="10" spans="1:6" x14ac:dyDescent="0.25">
      <c r="A10" s="12" t="s">
        <v>27</v>
      </c>
      <c r="B10" s="9">
        <f>AVERAGE(Returns!G5:G744)</f>
        <v>4.5415761784531187E-4</v>
      </c>
      <c r="D10" s="12" t="s">
        <v>38</v>
      </c>
      <c r="E10" s="12" t="s">
        <v>30</v>
      </c>
      <c r="F10" s="12" t="s">
        <v>31</v>
      </c>
    </row>
    <row r="11" spans="1:6" x14ac:dyDescent="0.25">
      <c r="A11" s="12" t="s">
        <v>28</v>
      </c>
      <c r="B11" s="9">
        <f>_xlfn.STDEV.S(Returns!G5:G744)</f>
        <v>9.9527009505002723E-3</v>
      </c>
      <c r="D11" t="s">
        <v>39</v>
      </c>
      <c r="E11" s="9">
        <f>-_xlfn.PERCENTILE.INC(Returns!G5:G744, 0.05)</f>
        <v>1.5098984028304617E-2</v>
      </c>
      <c r="F11" s="9">
        <f>-_xlfn.PERCENTILE.INC(Returns!G5:G744, 0.01)</f>
        <v>2.5598995175695836E-2</v>
      </c>
    </row>
    <row r="12" spans="1:6" x14ac:dyDescent="0.25">
      <c r="A12" s="12" t="s">
        <v>29</v>
      </c>
      <c r="B12">
        <f>COUNT(Returns!G5:G744)</f>
        <v>740</v>
      </c>
      <c r="D12" t="s">
        <v>40</v>
      </c>
      <c r="E12" s="6">
        <f>E11*1000000</f>
        <v>15098.984028304616</v>
      </c>
      <c r="F12" s="6">
        <f>F11*1000000</f>
        <v>25598.995175695836</v>
      </c>
    </row>
    <row r="13" spans="1:6" x14ac:dyDescent="0.25">
      <c r="A13" s="12" t="s">
        <v>32</v>
      </c>
      <c r="B13" s="11">
        <f>_xlfn.NORM.S.INV(95%)</f>
        <v>1.6448536269514715</v>
      </c>
    </row>
    <row r="14" spans="1:6" x14ac:dyDescent="0.25">
      <c r="A14" s="12" t="s">
        <v>33</v>
      </c>
      <c r="B14" s="11">
        <f>_xlfn.NORM.S.INV(99%)</f>
        <v>2.3263478740408408</v>
      </c>
      <c r="D14" t="s">
        <v>41</v>
      </c>
      <c r="E14" s="5">
        <f>(B13*B11)-B10</f>
        <v>1.5916578638548416E-2</v>
      </c>
      <c r="F14" s="5">
        <f>(B14*B11)-B10</f>
        <v>2.2699287079315251E-2</v>
      </c>
    </row>
    <row r="15" spans="1:6" x14ac:dyDescent="0.25">
      <c r="A15" s="12" t="s">
        <v>34</v>
      </c>
      <c r="B15" s="10">
        <f>SKEW(Returns!G5:G744)</f>
        <v>2.1673097234841746E-2</v>
      </c>
      <c r="D15" t="s">
        <v>42</v>
      </c>
      <c r="E15" s="6">
        <f>E14*1000000</f>
        <v>15916.578638548417</v>
      </c>
      <c r="F15" s="6">
        <f>F14*1000000</f>
        <v>22699.287079315251</v>
      </c>
    </row>
    <row r="16" spans="1:6" x14ac:dyDescent="0.25">
      <c r="A16" s="12" t="s">
        <v>35</v>
      </c>
      <c r="B16" s="10">
        <f>KURT(Returns!G5:G744)</f>
        <v>3.1488354867195114</v>
      </c>
    </row>
    <row r="17" spans="1:6" x14ac:dyDescent="0.25">
      <c r="A17" s="12" t="s">
        <v>36</v>
      </c>
      <c r="B17" s="10">
        <f>_xlfn.NORM.S.DIST(B13, FALSE)</f>
        <v>0.10313564037537151</v>
      </c>
    </row>
    <row r="18" spans="1:6" x14ac:dyDescent="0.25">
      <c r="A18" s="12" t="s">
        <v>37</v>
      </c>
      <c r="B18" s="10">
        <f>_xlfn.NORM.S.DIST(B14, FALSE)</f>
        <v>2.665214220345808E-2</v>
      </c>
      <c r="D18" t="s">
        <v>43</v>
      </c>
      <c r="E18" s="9">
        <f>-AVERAGEIF(Returns!$G$5:$G$744, "&lt;"&amp;-E11)</f>
        <v>2.2072416410432207E-2</v>
      </c>
      <c r="F18" s="9">
        <f>-AVERAGEIF(Returns!$G$5:$G$744, "&lt;"&amp;-F11)</f>
        <v>3.359716596722518E-2</v>
      </c>
    </row>
    <row r="19" spans="1:6" x14ac:dyDescent="0.25">
      <c r="D19" t="s">
        <v>44</v>
      </c>
      <c r="E19" s="6">
        <f>E18*1000000</f>
        <v>22072.416410432208</v>
      </c>
      <c r="F19" s="6">
        <f>F18*1000000</f>
        <v>33597.165967225177</v>
      </c>
    </row>
    <row r="21" spans="1:6" x14ac:dyDescent="0.25">
      <c r="D21" t="s">
        <v>45</v>
      </c>
      <c r="E21" s="8">
        <f>B11*B17/(0.05)-B10</f>
        <v>2.0075406102042972E-2</v>
      </c>
      <c r="F21" s="8">
        <f>B11*B18/(0.01)-B10</f>
        <v>2.6071922486277252E-2</v>
      </c>
    </row>
    <row r="22" spans="1:6" x14ac:dyDescent="0.25">
      <c r="D22" t="s">
        <v>46</v>
      </c>
      <c r="E22" s="6">
        <f>E21*1000000</f>
        <v>20075.406102042973</v>
      </c>
      <c r="F22" s="6">
        <f>F21*1000000</f>
        <v>26071.922486277253</v>
      </c>
    </row>
  </sheetData>
  <mergeCells count="1">
    <mergeCell ref="A9:F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2"/>
  <sheetViews>
    <sheetView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13.140625" bestFit="1" customWidth="1"/>
    <col min="3" max="3" width="13.85546875" bestFit="1" customWidth="1"/>
    <col min="4" max="4" width="13.140625" bestFit="1" customWidth="1"/>
    <col min="5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45110</v>
      </c>
      <c r="B2">
        <v>978.75030517578125</v>
      </c>
      <c r="C2">
        <v>823.3839111328125</v>
      </c>
      <c r="D2">
        <v>912.089111328125</v>
      </c>
      <c r="E2">
        <v>1213.35693359375</v>
      </c>
      <c r="F2">
        <v>1415.804321289062</v>
      </c>
    </row>
    <row r="3" spans="1:6" x14ac:dyDescent="0.25">
      <c r="A3" s="1">
        <v>45111</v>
      </c>
      <c r="B3">
        <v>967.38909912109375</v>
      </c>
      <c r="C3">
        <v>827.40545654296875</v>
      </c>
      <c r="D3">
        <v>914.16973876953125</v>
      </c>
      <c r="E3">
        <v>1223.77392578125</v>
      </c>
      <c r="F3">
        <v>1412.4287109375</v>
      </c>
    </row>
    <row r="4" spans="1:6" x14ac:dyDescent="0.25">
      <c r="A4" s="1">
        <v>45112</v>
      </c>
      <c r="B4">
        <v>963.20343017578125</v>
      </c>
      <c r="C4">
        <v>801.12115478515625</v>
      </c>
      <c r="D4">
        <v>927.03985595703125</v>
      </c>
      <c r="E4">
        <v>1225.729858398438</v>
      </c>
      <c r="F4">
        <v>1422.941528320312</v>
      </c>
    </row>
    <row r="5" spans="1:6" x14ac:dyDescent="0.25">
      <c r="A5" s="1">
        <v>45113</v>
      </c>
      <c r="B5">
        <v>977.60418701171875</v>
      </c>
      <c r="C5">
        <v>801.93499755859375</v>
      </c>
      <c r="D5">
        <v>928.3946533203125</v>
      </c>
      <c r="E5">
        <v>1222.63671875</v>
      </c>
      <c r="F5">
        <v>1493.782470703125</v>
      </c>
    </row>
    <row r="6" spans="1:6" x14ac:dyDescent="0.25">
      <c r="A6" s="1">
        <v>45114</v>
      </c>
      <c r="B6">
        <v>974.36199951171875</v>
      </c>
      <c r="C6">
        <v>794.94500732421875</v>
      </c>
      <c r="D6">
        <v>915.8148193359375</v>
      </c>
      <c r="E6">
        <v>1210.1728515625</v>
      </c>
      <c r="F6">
        <v>1508.587036132812</v>
      </c>
    </row>
    <row r="7" spans="1:6" x14ac:dyDescent="0.25">
      <c r="A7" s="1">
        <v>45117</v>
      </c>
      <c r="B7">
        <v>961.7423095703125</v>
      </c>
      <c r="C7">
        <v>793.05389404296875</v>
      </c>
      <c r="D7">
        <v>917.7501220703125</v>
      </c>
      <c r="E7">
        <v>1209.2177734375</v>
      </c>
      <c r="F7">
        <v>1496.290161132812</v>
      </c>
    </row>
    <row r="8" spans="1:6" x14ac:dyDescent="0.25">
      <c r="A8" s="1">
        <v>45118</v>
      </c>
      <c r="B8">
        <v>950.91827392578125</v>
      </c>
      <c r="C8">
        <v>789.1998291015625</v>
      </c>
      <c r="D8">
        <v>914.41162109375</v>
      </c>
      <c r="E8">
        <v>1226.912475585938</v>
      </c>
      <c r="F8">
        <v>1513.69873046875</v>
      </c>
    </row>
    <row r="9" spans="1:6" x14ac:dyDescent="0.25">
      <c r="A9" s="1">
        <v>45119</v>
      </c>
      <c r="B9">
        <v>947.72589111328125</v>
      </c>
      <c r="C9">
        <v>781.8028564453125</v>
      </c>
      <c r="D9">
        <v>913.87939453125</v>
      </c>
      <c r="E9">
        <v>1212.9931640625</v>
      </c>
      <c r="F9">
        <v>1515.049072265625</v>
      </c>
    </row>
    <row r="10" spans="1:6" x14ac:dyDescent="0.25">
      <c r="A10" s="1">
        <v>45120</v>
      </c>
      <c r="B10">
        <v>957.85162353515625</v>
      </c>
      <c r="C10">
        <v>785.704833984375</v>
      </c>
      <c r="D10">
        <v>924.814208984375</v>
      </c>
      <c r="E10">
        <v>1241.923583984375</v>
      </c>
      <c r="F10">
        <v>1511.239379882812</v>
      </c>
    </row>
    <row r="11" spans="1:6" x14ac:dyDescent="0.25">
      <c r="A11" s="1">
        <v>45121</v>
      </c>
      <c r="B11">
        <v>954.75897216796875</v>
      </c>
      <c r="C11">
        <v>787.3326416015625</v>
      </c>
      <c r="D11">
        <v>929.02362060546875</v>
      </c>
      <c r="E11">
        <v>1297.283081054688</v>
      </c>
      <c r="F11">
        <v>1507.243774414062</v>
      </c>
    </row>
    <row r="12" spans="1:6" x14ac:dyDescent="0.25">
      <c r="A12" s="1">
        <v>45124</v>
      </c>
      <c r="B12">
        <v>962.54034423828125</v>
      </c>
      <c r="C12">
        <v>803.80224609375</v>
      </c>
      <c r="D12">
        <v>937.39404296875</v>
      </c>
      <c r="E12">
        <v>1294.553833007812</v>
      </c>
      <c r="F12">
        <v>1497.254150390625</v>
      </c>
    </row>
    <row r="13" spans="1:6" x14ac:dyDescent="0.25">
      <c r="A13" s="1">
        <v>45125</v>
      </c>
      <c r="B13">
        <v>961.34326171875</v>
      </c>
      <c r="C13">
        <v>803.13201904296875</v>
      </c>
      <c r="D13">
        <v>943.92596435546875</v>
      </c>
      <c r="E13">
        <v>1342.089111328125</v>
      </c>
      <c r="F13">
        <v>1495.694702148438</v>
      </c>
    </row>
    <row r="14" spans="1:6" x14ac:dyDescent="0.25">
      <c r="A14" s="1">
        <v>45126</v>
      </c>
      <c r="B14">
        <v>961.99169921875</v>
      </c>
      <c r="C14">
        <v>806.7706298828125</v>
      </c>
      <c r="D14">
        <v>941.99053955078125</v>
      </c>
      <c r="E14">
        <v>1341.86181640625</v>
      </c>
      <c r="F14">
        <v>1505.19677734375</v>
      </c>
    </row>
    <row r="15" spans="1:6" x14ac:dyDescent="0.25">
      <c r="A15" s="1">
        <v>45127</v>
      </c>
      <c r="B15">
        <v>975.55914306640625</v>
      </c>
      <c r="C15">
        <v>808.51812744140625</v>
      </c>
      <c r="D15">
        <v>963.42474365234375</v>
      </c>
      <c r="E15">
        <v>1318.708251953125</v>
      </c>
      <c r="F15">
        <v>1506.074096679688</v>
      </c>
    </row>
    <row r="16" spans="1:6" x14ac:dyDescent="0.25">
      <c r="A16" s="1">
        <v>45128</v>
      </c>
      <c r="B16">
        <v>968.974853515625</v>
      </c>
      <c r="C16">
        <v>802.29412841796875</v>
      </c>
      <c r="D16">
        <v>964.77947998046875</v>
      </c>
      <c r="E16">
        <v>1211.446411132812</v>
      </c>
      <c r="F16">
        <v>1484.779418945312</v>
      </c>
    </row>
    <row r="17" spans="1:6" x14ac:dyDescent="0.25">
      <c r="A17" s="1">
        <v>45131</v>
      </c>
      <c r="B17">
        <v>969.1744384765625</v>
      </c>
      <c r="C17">
        <v>803.5628662109375</v>
      </c>
      <c r="D17">
        <v>959.94110107421875</v>
      </c>
      <c r="E17">
        <v>1215.995361328125</v>
      </c>
      <c r="F17">
        <v>1507.535888671875</v>
      </c>
    </row>
    <row r="18" spans="1:6" x14ac:dyDescent="0.25">
      <c r="A18" s="1">
        <v>45132</v>
      </c>
      <c r="B18">
        <v>960.1959228515625</v>
      </c>
      <c r="C18">
        <v>812.27642822265625</v>
      </c>
      <c r="D18">
        <v>962.5538330078125</v>
      </c>
      <c r="E18">
        <v>1214.175659179688</v>
      </c>
      <c r="F18">
        <v>1525.95556640625</v>
      </c>
    </row>
    <row r="19" spans="1:6" x14ac:dyDescent="0.25">
      <c r="A19" s="1">
        <v>45133</v>
      </c>
      <c r="B19">
        <v>974.46173095703125</v>
      </c>
      <c r="C19">
        <v>809.45166015625</v>
      </c>
      <c r="D19">
        <v>964.247314453125</v>
      </c>
      <c r="E19">
        <v>1227.139892578125</v>
      </c>
      <c r="F19">
        <v>1505.586791992188</v>
      </c>
    </row>
    <row r="20" spans="1:6" x14ac:dyDescent="0.25">
      <c r="A20" s="1">
        <v>45134</v>
      </c>
      <c r="B20">
        <v>957.6021728515625</v>
      </c>
      <c r="C20">
        <v>801.04931640625</v>
      </c>
      <c r="D20">
        <v>958.2476806640625</v>
      </c>
      <c r="E20">
        <v>1231.052001953125</v>
      </c>
      <c r="F20">
        <v>1410.613525390625</v>
      </c>
    </row>
    <row r="21" spans="1:6" x14ac:dyDescent="0.25">
      <c r="A21" s="1">
        <v>45135</v>
      </c>
      <c r="B21">
        <v>947.676025390625</v>
      </c>
      <c r="C21">
        <v>786.85382080078125</v>
      </c>
      <c r="D21">
        <v>964.00537109375</v>
      </c>
      <c r="E21">
        <v>1219.543579101562</v>
      </c>
      <c r="F21">
        <v>1430.4951171875</v>
      </c>
    </row>
    <row r="22" spans="1:6" x14ac:dyDescent="0.25">
      <c r="A22" s="1">
        <v>45138</v>
      </c>
      <c r="B22">
        <v>951.6165771484375</v>
      </c>
      <c r="C22">
        <v>790.54034423828125</v>
      </c>
      <c r="D22">
        <v>966.0374755859375</v>
      </c>
      <c r="E22">
        <v>1233.371826171875</v>
      </c>
      <c r="F22">
        <v>1437.706909179688</v>
      </c>
    </row>
    <row r="23" spans="1:6" x14ac:dyDescent="0.25">
      <c r="A23" s="1">
        <v>45139</v>
      </c>
      <c r="B23">
        <v>957.6021728515625</v>
      </c>
      <c r="C23">
        <v>795.8306884765625</v>
      </c>
      <c r="D23">
        <v>962.40863037109375</v>
      </c>
      <c r="E23">
        <v>1242.0146484375</v>
      </c>
      <c r="F23">
        <v>1455.395751953125</v>
      </c>
    </row>
    <row r="24" spans="1:6" x14ac:dyDescent="0.25">
      <c r="A24" s="1">
        <v>45140</v>
      </c>
      <c r="B24">
        <v>942.98724365234375</v>
      </c>
      <c r="C24">
        <v>785.4176025390625</v>
      </c>
      <c r="D24">
        <v>955.0543212890625</v>
      </c>
      <c r="E24">
        <v>1234.418212890625</v>
      </c>
      <c r="F24">
        <v>1447.55029296875</v>
      </c>
    </row>
    <row r="25" spans="1:6" x14ac:dyDescent="0.25">
      <c r="A25" s="1">
        <v>45141</v>
      </c>
      <c r="B25">
        <v>933.310546875</v>
      </c>
      <c r="C25">
        <v>779.74420166015625</v>
      </c>
      <c r="D25">
        <v>933.813720703125</v>
      </c>
      <c r="E25">
        <v>1241.195922851562</v>
      </c>
      <c r="F25">
        <v>1431.810791015625</v>
      </c>
    </row>
    <row r="26" spans="1:6" x14ac:dyDescent="0.25">
      <c r="A26" s="1">
        <v>45142</v>
      </c>
      <c r="B26">
        <v>949.97052001953125</v>
      </c>
      <c r="C26">
        <v>791.01910400390625</v>
      </c>
      <c r="D26">
        <v>939.1358642578125</v>
      </c>
      <c r="E26">
        <v>1253.978149414062</v>
      </c>
      <c r="F26">
        <v>1427.425170898438</v>
      </c>
    </row>
    <row r="27" spans="1:6" x14ac:dyDescent="0.25">
      <c r="A27" s="1">
        <v>45145</v>
      </c>
      <c r="B27">
        <v>945.13214111328125</v>
      </c>
      <c r="C27">
        <v>790.5643310546875</v>
      </c>
      <c r="D27">
        <v>944.11944580078125</v>
      </c>
      <c r="E27">
        <v>1267.306274414062</v>
      </c>
      <c r="F27">
        <v>1488.093017578125</v>
      </c>
    </row>
    <row r="28" spans="1:6" x14ac:dyDescent="0.25">
      <c r="A28" s="1">
        <v>45146</v>
      </c>
      <c r="B28">
        <v>950.6190185546875</v>
      </c>
      <c r="C28">
        <v>789.91796875</v>
      </c>
      <c r="D28">
        <v>948.232177734375</v>
      </c>
      <c r="E28">
        <v>1264.758911132812</v>
      </c>
      <c r="F28">
        <v>1461.584228515625</v>
      </c>
    </row>
    <row r="29" spans="1:6" x14ac:dyDescent="0.25">
      <c r="A29" s="1">
        <v>45147</v>
      </c>
      <c r="B29">
        <v>947.72589111328125</v>
      </c>
      <c r="C29">
        <v>790.20526123046875</v>
      </c>
      <c r="D29">
        <v>949.01263427734375</v>
      </c>
      <c r="E29">
        <v>1268.579956054688</v>
      </c>
      <c r="F29">
        <v>1495.743530273438</v>
      </c>
    </row>
    <row r="30" spans="1:6" x14ac:dyDescent="0.25">
      <c r="A30" s="1">
        <v>45148</v>
      </c>
      <c r="B30">
        <v>937.50048828125</v>
      </c>
      <c r="C30">
        <v>783.1912841796875</v>
      </c>
      <c r="D30">
        <v>940.6220703125</v>
      </c>
      <c r="E30">
        <v>1263.758178710938</v>
      </c>
      <c r="F30">
        <v>1506.122680664062</v>
      </c>
    </row>
    <row r="31" spans="1:6" x14ac:dyDescent="0.25">
      <c r="A31" s="1">
        <v>45149</v>
      </c>
      <c r="B31">
        <v>934.95660400390625</v>
      </c>
      <c r="C31">
        <v>775.0283203125</v>
      </c>
      <c r="D31">
        <v>929.64599609375</v>
      </c>
      <c r="E31">
        <v>1248.064575195312</v>
      </c>
      <c r="F31">
        <v>1507.14599609375</v>
      </c>
    </row>
    <row r="32" spans="1:6" x14ac:dyDescent="0.25">
      <c r="A32" s="1">
        <v>45152</v>
      </c>
      <c r="B32">
        <v>937.699951171875</v>
      </c>
      <c r="C32">
        <v>771.24609375</v>
      </c>
      <c r="D32">
        <v>936.182861328125</v>
      </c>
      <c r="E32">
        <v>1267.806762695312</v>
      </c>
      <c r="F32">
        <v>1507.535888671875</v>
      </c>
    </row>
    <row r="33" spans="1:6" x14ac:dyDescent="0.25">
      <c r="A33" s="1">
        <v>45154</v>
      </c>
      <c r="B33">
        <v>930.81646728515625</v>
      </c>
      <c r="C33">
        <v>768.99578857421875</v>
      </c>
      <c r="D33">
        <v>933.20709228515625</v>
      </c>
      <c r="E33">
        <v>1290.50537109375</v>
      </c>
      <c r="F33">
        <v>1530.682250976562</v>
      </c>
    </row>
    <row r="34" spans="1:6" x14ac:dyDescent="0.25">
      <c r="A34" s="1">
        <v>45155</v>
      </c>
      <c r="B34">
        <v>934.30810546875</v>
      </c>
      <c r="C34">
        <v>764.73486328125</v>
      </c>
      <c r="D34">
        <v>928.47528076171875</v>
      </c>
      <c r="E34">
        <v>1284.1826171875</v>
      </c>
      <c r="F34">
        <v>1533.508544921875</v>
      </c>
    </row>
    <row r="35" spans="1:6" x14ac:dyDescent="0.25">
      <c r="A35" s="1">
        <v>45156</v>
      </c>
      <c r="B35">
        <v>940.79254150390625</v>
      </c>
      <c r="C35">
        <v>761.59893798828125</v>
      </c>
      <c r="D35">
        <v>927.4996337890625</v>
      </c>
      <c r="E35">
        <v>1263.4853515625</v>
      </c>
      <c r="F35">
        <v>1513.1884765625</v>
      </c>
    </row>
    <row r="36" spans="1:6" x14ac:dyDescent="0.25">
      <c r="A36" s="1">
        <v>45159</v>
      </c>
      <c r="B36">
        <v>950.319580078125</v>
      </c>
      <c r="C36">
        <v>761.00042724609375</v>
      </c>
      <c r="D36">
        <v>931.9388427734375</v>
      </c>
      <c r="E36">
        <v>1278.587280273438</v>
      </c>
      <c r="F36">
        <v>1499.447021484375</v>
      </c>
    </row>
    <row r="37" spans="1:6" x14ac:dyDescent="0.25">
      <c r="A37" s="1">
        <v>45160</v>
      </c>
      <c r="B37">
        <v>954.75897216796875</v>
      </c>
      <c r="C37">
        <v>757.74481201171875</v>
      </c>
      <c r="D37">
        <v>928.8167724609375</v>
      </c>
      <c r="E37">
        <v>1277.086181640625</v>
      </c>
      <c r="F37">
        <v>1511.093139648438</v>
      </c>
    </row>
    <row r="38" spans="1:6" x14ac:dyDescent="0.25">
      <c r="A38" s="1">
        <v>45161</v>
      </c>
      <c r="B38">
        <v>976.9058837890625</v>
      </c>
      <c r="C38">
        <v>759.61199951171875</v>
      </c>
      <c r="D38">
        <v>943.30511474609375</v>
      </c>
      <c r="E38">
        <v>1280.9072265625</v>
      </c>
      <c r="F38">
        <v>1503.247802734375</v>
      </c>
    </row>
    <row r="39" spans="1:6" x14ac:dyDescent="0.25">
      <c r="A39" s="1">
        <v>45162</v>
      </c>
      <c r="B39">
        <v>979.00079345703125</v>
      </c>
      <c r="C39">
        <v>756.1170654296875</v>
      </c>
      <c r="D39">
        <v>945.35400390625</v>
      </c>
      <c r="E39">
        <v>1295.14501953125</v>
      </c>
      <c r="F39">
        <v>1503.004150390625</v>
      </c>
    </row>
    <row r="40" spans="1:6" x14ac:dyDescent="0.25">
      <c r="A40" s="1">
        <v>45163</v>
      </c>
      <c r="B40">
        <v>980.74658203125</v>
      </c>
      <c r="C40">
        <v>747.594970703125</v>
      </c>
      <c r="D40">
        <v>946.7686767578125</v>
      </c>
      <c r="E40">
        <v>1291.9609375</v>
      </c>
      <c r="F40">
        <v>1481.417114257812</v>
      </c>
    </row>
    <row r="41" spans="1:6" x14ac:dyDescent="0.25">
      <c r="A41" s="1">
        <v>45166</v>
      </c>
      <c r="B41">
        <v>987.8297119140625</v>
      </c>
      <c r="C41">
        <v>755.37493896484375</v>
      </c>
      <c r="D41">
        <v>946.9150390625</v>
      </c>
      <c r="E41">
        <v>1287.912475585938</v>
      </c>
      <c r="F41">
        <v>1509.874877929688</v>
      </c>
    </row>
    <row r="42" spans="1:6" x14ac:dyDescent="0.25">
      <c r="A42" s="1">
        <v>45167</v>
      </c>
      <c r="B42">
        <v>978.35247802734375</v>
      </c>
      <c r="C42">
        <v>761.383544921875</v>
      </c>
      <c r="D42">
        <v>944.18316650390625</v>
      </c>
      <c r="E42">
        <v>1289.73193359375</v>
      </c>
      <c r="F42">
        <v>1521.180053710938</v>
      </c>
    </row>
    <row r="43" spans="1:6" x14ac:dyDescent="0.25">
      <c r="A43" s="1">
        <v>45168</v>
      </c>
      <c r="B43">
        <v>980.99603271484375</v>
      </c>
      <c r="C43">
        <v>755.8297119140625</v>
      </c>
      <c r="D43">
        <v>935.54876708984375</v>
      </c>
      <c r="E43">
        <v>1305.653076171875</v>
      </c>
      <c r="F43">
        <v>1542.962036132812</v>
      </c>
    </row>
    <row r="44" spans="1:6" x14ac:dyDescent="0.25">
      <c r="A44" s="1">
        <v>45169</v>
      </c>
      <c r="B44">
        <v>971.169677734375</v>
      </c>
      <c r="C44">
        <v>752.35870361328125</v>
      </c>
      <c r="D44">
        <v>935.40234375</v>
      </c>
      <c r="E44">
        <v>1305.925903320312</v>
      </c>
      <c r="F44">
        <v>1535.3603515625</v>
      </c>
    </row>
    <row r="45" spans="1:6" x14ac:dyDescent="0.25">
      <c r="A45" s="1">
        <v>45170</v>
      </c>
      <c r="B45">
        <v>988.7774658203125</v>
      </c>
      <c r="C45">
        <v>753.9146728515625</v>
      </c>
      <c r="D45">
        <v>945.11004638671875</v>
      </c>
      <c r="E45">
        <v>1313.567993164062</v>
      </c>
      <c r="F45">
        <v>1551.489624023438</v>
      </c>
    </row>
    <row r="46" spans="1:6" x14ac:dyDescent="0.25">
      <c r="A46" s="1">
        <v>45173</v>
      </c>
      <c r="B46">
        <v>979.898681640625</v>
      </c>
      <c r="C46">
        <v>758.630615234375</v>
      </c>
      <c r="D46">
        <v>943.79290771484375</v>
      </c>
      <c r="E46">
        <v>1332.900512695312</v>
      </c>
      <c r="F46">
        <v>1536.3349609375</v>
      </c>
    </row>
    <row r="47" spans="1:6" x14ac:dyDescent="0.25">
      <c r="A47" s="1">
        <v>45174</v>
      </c>
      <c r="B47">
        <v>979.1005859375</v>
      </c>
      <c r="C47">
        <v>754.01043701171875</v>
      </c>
      <c r="D47">
        <v>944.8173828125</v>
      </c>
      <c r="E47">
        <v>1345.455322265625</v>
      </c>
      <c r="F47">
        <v>1531.218383789062</v>
      </c>
    </row>
    <row r="48" spans="1:6" x14ac:dyDescent="0.25">
      <c r="A48" s="1">
        <v>45175</v>
      </c>
      <c r="B48">
        <v>962.7398681640625</v>
      </c>
      <c r="C48">
        <v>763.873046875</v>
      </c>
      <c r="D48">
        <v>934.182861328125</v>
      </c>
      <c r="E48">
        <v>1344.135986328125</v>
      </c>
      <c r="F48">
        <v>1536.919677734375</v>
      </c>
    </row>
    <row r="49" spans="1:6" x14ac:dyDescent="0.25">
      <c r="A49" s="1">
        <v>45176</v>
      </c>
      <c r="B49">
        <v>975.8583984375</v>
      </c>
      <c r="C49">
        <v>771.22216796875</v>
      </c>
      <c r="D49">
        <v>942.13433837890625</v>
      </c>
      <c r="E49">
        <v>1333.901123046875</v>
      </c>
      <c r="F49">
        <v>1525.95556640625</v>
      </c>
    </row>
    <row r="50" spans="1:6" x14ac:dyDescent="0.25">
      <c r="A50" s="1">
        <v>45177</v>
      </c>
      <c r="B50">
        <v>977.95343017578125</v>
      </c>
      <c r="C50">
        <v>777.23065185546875</v>
      </c>
      <c r="D50">
        <v>946.9150390625</v>
      </c>
      <c r="E50">
        <v>1336.994262695312</v>
      </c>
      <c r="F50">
        <v>1527.7099609375</v>
      </c>
    </row>
    <row r="51" spans="1:6" x14ac:dyDescent="0.25">
      <c r="A51" s="1">
        <v>45180</v>
      </c>
      <c r="B51">
        <v>998.00531005859375</v>
      </c>
      <c r="C51">
        <v>781.2523193359375</v>
      </c>
      <c r="D51">
        <v>954.427490234375</v>
      </c>
      <c r="E51">
        <v>1343.226196289062</v>
      </c>
      <c r="F51">
        <v>1541.890014648438</v>
      </c>
    </row>
    <row r="52" spans="1:6" x14ac:dyDescent="0.25">
      <c r="A52" s="1">
        <v>45181</v>
      </c>
      <c r="B52">
        <v>998.504150390625</v>
      </c>
      <c r="C52">
        <v>783.69403076171875</v>
      </c>
      <c r="D52">
        <v>966.379150390625</v>
      </c>
      <c r="E52">
        <v>1365.652099609375</v>
      </c>
      <c r="F52">
        <v>1518.353759765625</v>
      </c>
    </row>
    <row r="53" spans="1:6" x14ac:dyDescent="0.25">
      <c r="A53" s="1">
        <v>45182</v>
      </c>
      <c r="B53">
        <v>1012.021667480469</v>
      </c>
      <c r="C53">
        <v>787.04541015625</v>
      </c>
      <c r="D53">
        <v>965.69622802734375</v>
      </c>
      <c r="E53">
        <v>1363.150146484375</v>
      </c>
      <c r="F53">
        <v>1497.887451171875</v>
      </c>
    </row>
    <row r="54" spans="1:6" x14ac:dyDescent="0.25">
      <c r="A54" s="1">
        <v>45183</v>
      </c>
      <c r="B54">
        <v>1018.456176757812</v>
      </c>
      <c r="C54">
        <v>786.56658935546875</v>
      </c>
      <c r="D54">
        <v>963.64739990234375</v>
      </c>
      <c r="E54">
        <v>1370.974243164062</v>
      </c>
      <c r="F54">
        <v>1526.19921875</v>
      </c>
    </row>
    <row r="55" spans="1:6" x14ac:dyDescent="0.25">
      <c r="A55" s="1">
        <v>45184</v>
      </c>
      <c r="B55">
        <v>1024.691284179688</v>
      </c>
      <c r="C55">
        <v>795.5914306640625</v>
      </c>
      <c r="D55">
        <v>968.28173828125</v>
      </c>
      <c r="E55">
        <v>1375.204833984375</v>
      </c>
      <c r="F55">
        <v>1560.4072265625</v>
      </c>
    </row>
    <row r="56" spans="1:6" x14ac:dyDescent="0.25">
      <c r="A56" s="1">
        <v>45187</v>
      </c>
      <c r="B56">
        <v>1022.297058105469</v>
      </c>
      <c r="C56">
        <v>779.9356689453125</v>
      </c>
      <c r="D56">
        <v>966.0865478515625</v>
      </c>
      <c r="E56">
        <v>1357.191284179688</v>
      </c>
      <c r="F56">
        <v>1599.731567382812</v>
      </c>
    </row>
    <row r="57" spans="1:6" x14ac:dyDescent="0.25">
      <c r="A57" s="1">
        <v>45189</v>
      </c>
      <c r="B57">
        <v>1024.840942382812</v>
      </c>
      <c r="C57">
        <v>748.64825439453125</v>
      </c>
      <c r="D57">
        <v>963.11077880859375</v>
      </c>
      <c r="E57">
        <v>1355.781127929688</v>
      </c>
      <c r="F57">
        <v>1592.470947265625</v>
      </c>
    </row>
    <row r="58" spans="1:6" x14ac:dyDescent="0.25">
      <c r="A58" s="1">
        <v>45190</v>
      </c>
      <c r="B58">
        <v>1012.021667480469</v>
      </c>
      <c r="C58">
        <v>743.6929931640625</v>
      </c>
      <c r="D58">
        <v>935.93896484375</v>
      </c>
      <c r="E58">
        <v>1366.243286132812</v>
      </c>
      <c r="F58">
        <v>1543.010864257812</v>
      </c>
    </row>
    <row r="59" spans="1:6" x14ac:dyDescent="0.25">
      <c r="A59" s="1">
        <v>45191</v>
      </c>
      <c r="B59">
        <v>1015.812561035156</v>
      </c>
      <c r="C59">
        <v>732.34625244140625</v>
      </c>
      <c r="D59">
        <v>927.1580810546875</v>
      </c>
      <c r="E59">
        <v>1361.148681640625</v>
      </c>
      <c r="F59">
        <v>1566.303466796875</v>
      </c>
    </row>
    <row r="60" spans="1:6" x14ac:dyDescent="0.25">
      <c r="A60" s="1">
        <v>45194</v>
      </c>
      <c r="B60">
        <v>1016.510925292969</v>
      </c>
      <c r="C60">
        <v>732.9925537109375</v>
      </c>
      <c r="D60">
        <v>933.060791015625</v>
      </c>
      <c r="E60">
        <v>1341.1337890625</v>
      </c>
      <c r="F60">
        <v>1549.05322265625</v>
      </c>
    </row>
    <row r="61" spans="1:6" x14ac:dyDescent="0.25">
      <c r="A61" s="1">
        <v>45195</v>
      </c>
      <c r="B61">
        <v>1011.722351074219</v>
      </c>
      <c r="C61">
        <v>736.1763916015625</v>
      </c>
      <c r="D61">
        <v>925.59710693359375</v>
      </c>
      <c r="E61">
        <v>1328.852172851562</v>
      </c>
      <c r="F61">
        <v>1554.657104492188</v>
      </c>
    </row>
    <row r="62" spans="1:6" x14ac:dyDescent="0.25">
      <c r="A62" s="1">
        <v>45196</v>
      </c>
      <c r="B62">
        <v>1022.745849609375</v>
      </c>
      <c r="C62">
        <v>731.00567626953125</v>
      </c>
      <c r="D62">
        <v>920.1334228515625</v>
      </c>
      <c r="E62">
        <v>1334.629028320312</v>
      </c>
      <c r="F62">
        <v>1548.8095703125</v>
      </c>
    </row>
    <row r="63" spans="1:6" x14ac:dyDescent="0.25">
      <c r="A63" s="1">
        <v>45197</v>
      </c>
      <c r="B63">
        <v>1028.432250976562</v>
      </c>
      <c r="C63">
        <v>729.49755859375</v>
      </c>
      <c r="D63">
        <v>919.6456298828125</v>
      </c>
      <c r="E63">
        <v>1309.56494140625</v>
      </c>
      <c r="F63">
        <v>1516.502197265625</v>
      </c>
    </row>
    <row r="64" spans="1:6" x14ac:dyDescent="0.25">
      <c r="A64" s="1">
        <v>45198</v>
      </c>
      <c r="B64">
        <v>1034.21826171875</v>
      </c>
      <c r="C64">
        <v>730.742431640625</v>
      </c>
      <c r="D64">
        <v>928.71917724609375</v>
      </c>
      <c r="E64">
        <v>1305.925903320312</v>
      </c>
      <c r="F64">
        <v>1514.747924804688</v>
      </c>
    </row>
    <row r="65" spans="1:6" x14ac:dyDescent="0.25">
      <c r="A65" s="1">
        <v>45202</v>
      </c>
      <c r="B65">
        <v>1038.557983398438</v>
      </c>
      <c r="C65">
        <v>722.0048828125</v>
      </c>
      <c r="D65">
        <v>917.401611328125</v>
      </c>
      <c r="E65">
        <v>1304.606689453125</v>
      </c>
      <c r="F65">
        <v>1498.326293945312</v>
      </c>
    </row>
    <row r="66" spans="1:6" x14ac:dyDescent="0.25">
      <c r="A66" s="1">
        <v>45203</v>
      </c>
      <c r="B66">
        <v>993.16680908203125</v>
      </c>
      <c r="C66">
        <v>732.29840087890625</v>
      </c>
      <c r="D66">
        <v>907.4012451171875</v>
      </c>
      <c r="E66">
        <v>1314.022705078125</v>
      </c>
      <c r="F66">
        <v>1483.414916992188</v>
      </c>
    </row>
    <row r="67" spans="1:6" x14ac:dyDescent="0.25">
      <c r="A67" s="1">
        <v>45204</v>
      </c>
      <c r="B67">
        <v>1000.848449707031</v>
      </c>
      <c r="C67">
        <v>735.26678466796875</v>
      </c>
      <c r="D67">
        <v>917.938232421875</v>
      </c>
      <c r="E67">
        <v>1331.3994140625</v>
      </c>
      <c r="F67">
        <v>1498.862060546875</v>
      </c>
    </row>
    <row r="68" spans="1:6" x14ac:dyDescent="0.25">
      <c r="A68" s="1">
        <v>45205</v>
      </c>
      <c r="B68">
        <v>998.553955078125</v>
      </c>
      <c r="C68">
        <v>734.452880859375</v>
      </c>
      <c r="D68">
        <v>922.182373046875</v>
      </c>
      <c r="E68">
        <v>1345.273315429688</v>
      </c>
      <c r="F68">
        <v>1509.485107421875</v>
      </c>
    </row>
    <row r="69" spans="1:6" x14ac:dyDescent="0.25">
      <c r="A69" s="1">
        <v>45208</v>
      </c>
      <c r="B69">
        <v>993.86517333984375</v>
      </c>
      <c r="C69">
        <v>725.9307861328125</v>
      </c>
      <c r="D69">
        <v>915.74310302734375</v>
      </c>
      <c r="E69">
        <v>1342.316528320312</v>
      </c>
      <c r="F69">
        <v>1476.6904296875</v>
      </c>
    </row>
    <row r="70" spans="1:6" x14ac:dyDescent="0.25">
      <c r="A70" s="1">
        <v>45209</v>
      </c>
      <c r="B70">
        <v>1009.826843261719</v>
      </c>
      <c r="C70">
        <v>730.04815673828125</v>
      </c>
      <c r="D70">
        <v>928.0362548828125</v>
      </c>
      <c r="E70">
        <v>1360.239135742188</v>
      </c>
      <c r="F70">
        <v>1498.7646484375</v>
      </c>
    </row>
    <row r="71" spans="1:6" x14ac:dyDescent="0.25">
      <c r="A71" s="1">
        <v>45210</v>
      </c>
      <c r="B71">
        <v>1016.660522460938</v>
      </c>
      <c r="C71">
        <v>737.1099853515625</v>
      </c>
      <c r="D71">
        <v>929.88995361328125</v>
      </c>
      <c r="E71">
        <v>1359.556762695312</v>
      </c>
      <c r="F71">
        <v>1516.745849609375</v>
      </c>
    </row>
    <row r="72" spans="1:6" x14ac:dyDescent="0.25">
      <c r="A72" s="1">
        <v>45211</v>
      </c>
      <c r="B72">
        <v>1016.012084960938</v>
      </c>
      <c r="C72">
        <v>742.017333984375</v>
      </c>
      <c r="D72">
        <v>931.011962890625</v>
      </c>
      <c r="E72">
        <v>1333.264282226562</v>
      </c>
      <c r="F72">
        <v>1526.832641601562</v>
      </c>
    </row>
    <row r="73" spans="1:6" x14ac:dyDescent="0.25">
      <c r="A73" s="1">
        <v>45212</v>
      </c>
      <c r="B73">
        <v>991.67041015625</v>
      </c>
      <c r="C73">
        <v>735.26678466796875</v>
      </c>
      <c r="D73">
        <v>928.1337890625</v>
      </c>
      <c r="E73">
        <v>1302.013916015625</v>
      </c>
      <c r="F73">
        <v>1522.739501953125</v>
      </c>
    </row>
    <row r="74" spans="1:6" x14ac:dyDescent="0.25">
      <c r="A74" s="1">
        <v>45215</v>
      </c>
      <c r="B74">
        <v>1002.394653320312</v>
      </c>
      <c r="C74">
        <v>732.32232666015625</v>
      </c>
      <c r="D74">
        <v>928.2314453125</v>
      </c>
      <c r="E74">
        <v>1304.7431640625</v>
      </c>
      <c r="F74">
        <v>1534.532104492188</v>
      </c>
    </row>
    <row r="75" spans="1:6" x14ac:dyDescent="0.25">
      <c r="A75" s="1">
        <v>45216</v>
      </c>
      <c r="B75">
        <v>1005.636901855469</v>
      </c>
      <c r="C75">
        <v>737.8759765625</v>
      </c>
      <c r="D75">
        <v>930.6705322265625</v>
      </c>
      <c r="E75">
        <v>1312.294311523438</v>
      </c>
      <c r="F75">
        <v>1536.52978515625</v>
      </c>
    </row>
    <row r="76" spans="1:6" x14ac:dyDescent="0.25">
      <c r="A76" s="1">
        <v>45217</v>
      </c>
      <c r="B76">
        <v>990.4732666015625</v>
      </c>
      <c r="C76">
        <v>727.60650634765625</v>
      </c>
      <c r="D76">
        <v>920.76763916015625</v>
      </c>
      <c r="E76">
        <v>1310.565795898438</v>
      </c>
      <c r="F76">
        <v>1534.82421875</v>
      </c>
    </row>
    <row r="77" spans="1:6" x14ac:dyDescent="0.25">
      <c r="A77" s="1">
        <v>45218</v>
      </c>
      <c r="B77">
        <v>989.02685546875</v>
      </c>
      <c r="C77">
        <v>725.308349609375</v>
      </c>
      <c r="D77">
        <v>912.96246337890625</v>
      </c>
      <c r="E77">
        <v>1304.288330078125</v>
      </c>
      <c r="F77">
        <v>1529.658935546875</v>
      </c>
    </row>
    <row r="78" spans="1:6" x14ac:dyDescent="0.25">
      <c r="A78" s="1">
        <v>45219</v>
      </c>
      <c r="B78">
        <v>978.00323486328125</v>
      </c>
      <c r="C78">
        <v>729.06671142578125</v>
      </c>
      <c r="D78">
        <v>910.0355224609375</v>
      </c>
      <c r="E78">
        <v>1298.465698242188</v>
      </c>
      <c r="F78">
        <v>1518.646240234375</v>
      </c>
    </row>
    <row r="79" spans="1:6" x14ac:dyDescent="0.25">
      <c r="A79" s="1">
        <v>45222</v>
      </c>
      <c r="B79">
        <v>961.99169921875</v>
      </c>
      <c r="C79">
        <v>721.04736328125</v>
      </c>
      <c r="D79">
        <v>907.3037109375</v>
      </c>
      <c r="E79">
        <v>1281.544189453125</v>
      </c>
      <c r="F79">
        <v>1525.370971679688</v>
      </c>
    </row>
    <row r="80" spans="1:6" x14ac:dyDescent="0.25">
      <c r="A80" s="1">
        <v>45224</v>
      </c>
      <c r="B80">
        <v>953.16290283203125</v>
      </c>
      <c r="C80">
        <v>716.47515869140625</v>
      </c>
      <c r="D80">
        <v>893.79095458984375</v>
      </c>
      <c r="E80">
        <v>1262.560302734375</v>
      </c>
      <c r="F80">
        <v>1529.220458984375</v>
      </c>
    </row>
    <row r="81" spans="1:6" x14ac:dyDescent="0.25">
      <c r="A81" s="1">
        <v>45225</v>
      </c>
      <c r="B81">
        <v>969.72314453125</v>
      </c>
      <c r="C81">
        <v>700.62786865234375</v>
      </c>
      <c r="D81">
        <v>886.5224609375</v>
      </c>
      <c r="E81">
        <v>1252.7919921875</v>
      </c>
      <c r="F81">
        <v>1467.821533203125</v>
      </c>
    </row>
    <row r="82" spans="1:6" x14ac:dyDescent="0.25">
      <c r="A82" s="1">
        <v>45226</v>
      </c>
      <c r="B82">
        <v>1000.349609375</v>
      </c>
      <c r="C82">
        <v>703.380859375</v>
      </c>
      <c r="D82">
        <v>890.5225830078125</v>
      </c>
      <c r="E82">
        <v>1272.052124023438</v>
      </c>
      <c r="F82">
        <v>1472.402221679688</v>
      </c>
    </row>
    <row r="83" spans="1:6" x14ac:dyDescent="0.25">
      <c r="A83" s="1">
        <v>45229</v>
      </c>
      <c r="B83">
        <v>986.83203125</v>
      </c>
      <c r="C83">
        <v>711.01708984375</v>
      </c>
      <c r="D83">
        <v>902.376708984375</v>
      </c>
      <c r="E83">
        <v>1269.01123046875</v>
      </c>
      <c r="F83">
        <v>1459.732666015625</v>
      </c>
    </row>
    <row r="84" spans="1:6" x14ac:dyDescent="0.25">
      <c r="A84" s="1">
        <v>45230</v>
      </c>
      <c r="B84">
        <v>979.4996337890625</v>
      </c>
      <c r="C84">
        <v>706.89971923828125</v>
      </c>
      <c r="D84">
        <v>893.05926513671875</v>
      </c>
      <c r="E84">
        <v>1261.039794921875</v>
      </c>
      <c r="F84">
        <v>1421.52880859375</v>
      </c>
    </row>
    <row r="85" spans="1:6" x14ac:dyDescent="0.25">
      <c r="A85" s="1">
        <v>45231</v>
      </c>
      <c r="B85">
        <v>969.47369384765625</v>
      </c>
      <c r="C85">
        <v>705.94219970703125</v>
      </c>
      <c r="D85">
        <v>891.7908935546875</v>
      </c>
      <c r="E85">
        <v>1247.907836914062</v>
      </c>
      <c r="F85">
        <v>1417.630615234375</v>
      </c>
    </row>
    <row r="86" spans="1:6" x14ac:dyDescent="0.25">
      <c r="A86" s="1">
        <v>45232</v>
      </c>
      <c r="B86">
        <v>980.59698486328125</v>
      </c>
      <c r="C86">
        <v>707.01947021484375</v>
      </c>
      <c r="D86">
        <v>897.5472412109375</v>
      </c>
      <c r="E86">
        <v>1262.65234375</v>
      </c>
      <c r="F86">
        <v>1432.3466796875</v>
      </c>
    </row>
    <row r="87" spans="1:6" x14ac:dyDescent="0.25">
      <c r="A87" s="1">
        <v>45233</v>
      </c>
      <c r="B87">
        <v>986.48291015625</v>
      </c>
      <c r="C87">
        <v>710.370849609375</v>
      </c>
      <c r="D87">
        <v>911.0599365234375</v>
      </c>
      <c r="E87">
        <v>1280.069580078125</v>
      </c>
      <c r="F87">
        <v>1431.66455078125</v>
      </c>
    </row>
    <row r="88" spans="1:6" x14ac:dyDescent="0.25">
      <c r="A88" s="1">
        <v>45236</v>
      </c>
      <c r="B88">
        <v>1006.983703613281</v>
      </c>
      <c r="C88">
        <v>715.517578125</v>
      </c>
      <c r="D88">
        <v>922.42626953125</v>
      </c>
      <c r="E88">
        <v>1293.20166015625</v>
      </c>
      <c r="F88">
        <v>1450.47412109375</v>
      </c>
    </row>
    <row r="89" spans="1:6" x14ac:dyDescent="0.25">
      <c r="A89" s="1">
        <v>45237</v>
      </c>
      <c r="B89">
        <v>1018.456176757812</v>
      </c>
      <c r="C89">
        <v>712.04644775390625</v>
      </c>
      <c r="D89">
        <v>925.01165771484375</v>
      </c>
      <c r="E89">
        <v>1294.123168945312</v>
      </c>
      <c r="F89">
        <v>1442.141357421875</v>
      </c>
    </row>
    <row r="90" spans="1:6" x14ac:dyDescent="0.25">
      <c r="A90" s="1">
        <v>45238</v>
      </c>
      <c r="B90">
        <v>1019.254272460938</v>
      </c>
      <c r="C90">
        <v>714.10516357421875</v>
      </c>
      <c r="D90">
        <v>912.96246337890625</v>
      </c>
      <c r="E90">
        <v>1281.86669921875</v>
      </c>
      <c r="F90">
        <v>1449.596923828125</v>
      </c>
    </row>
    <row r="91" spans="1:6" x14ac:dyDescent="0.25">
      <c r="A91" s="1">
        <v>45239</v>
      </c>
      <c r="B91">
        <v>1019.453796386719</v>
      </c>
      <c r="C91">
        <v>711.28057861328125</v>
      </c>
      <c r="D91">
        <v>914.5234375</v>
      </c>
      <c r="E91">
        <v>1266.937622070312</v>
      </c>
      <c r="F91">
        <v>1512.603759765625</v>
      </c>
    </row>
    <row r="92" spans="1:6" x14ac:dyDescent="0.25">
      <c r="A92" s="1">
        <v>45240</v>
      </c>
      <c r="B92">
        <v>1026.736328125</v>
      </c>
      <c r="C92">
        <v>714.081298828125</v>
      </c>
      <c r="D92">
        <v>915.74310302734375</v>
      </c>
      <c r="E92">
        <v>1261.454345703125</v>
      </c>
      <c r="F92">
        <v>1485.3642578125</v>
      </c>
    </row>
    <row r="93" spans="1:6" x14ac:dyDescent="0.25">
      <c r="A93" s="1">
        <v>45243</v>
      </c>
      <c r="B93">
        <v>1022.8955078125</v>
      </c>
      <c r="C93">
        <v>712.78863525390625</v>
      </c>
      <c r="D93">
        <v>911.69415283203125</v>
      </c>
      <c r="E93">
        <v>1265.78564453125</v>
      </c>
      <c r="F93">
        <v>1501.103759765625</v>
      </c>
    </row>
    <row r="94" spans="1:6" x14ac:dyDescent="0.25">
      <c r="A94" s="1">
        <v>45245</v>
      </c>
      <c r="B94">
        <v>1038.857177734375</v>
      </c>
      <c r="C94">
        <v>720.2574462890625</v>
      </c>
      <c r="D94">
        <v>918.18218994140625</v>
      </c>
      <c r="E94">
        <v>1299.836669921875</v>
      </c>
      <c r="F94">
        <v>1504.904663085938</v>
      </c>
    </row>
    <row r="95" spans="1:6" x14ac:dyDescent="0.25">
      <c r="A95" s="1">
        <v>45246</v>
      </c>
      <c r="B95">
        <v>1023.893127441406</v>
      </c>
      <c r="C95">
        <v>722.1484375</v>
      </c>
      <c r="D95">
        <v>913.20635986328125</v>
      </c>
      <c r="E95">
        <v>1331.537841796875</v>
      </c>
      <c r="F95">
        <v>1529.6103515625</v>
      </c>
    </row>
    <row r="96" spans="1:6" x14ac:dyDescent="0.25">
      <c r="A96" s="1">
        <v>45247</v>
      </c>
      <c r="B96">
        <v>991.96966552734375</v>
      </c>
      <c r="C96">
        <v>720.59246826171875</v>
      </c>
      <c r="D96">
        <v>899.40093994140625</v>
      </c>
      <c r="E96">
        <v>1324.764404296875</v>
      </c>
      <c r="F96">
        <v>1544.277709960938</v>
      </c>
    </row>
    <row r="97" spans="1:6" x14ac:dyDescent="0.25">
      <c r="A97" s="1">
        <v>45250</v>
      </c>
      <c r="B97">
        <v>986.33331298828125</v>
      </c>
      <c r="C97">
        <v>720.64031982421875</v>
      </c>
      <c r="D97">
        <v>899.0107421875</v>
      </c>
      <c r="E97">
        <v>1323.888916015625</v>
      </c>
      <c r="F97">
        <v>1512.75</v>
      </c>
    </row>
    <row r="98" spans="1:6" x14ac:dyDescent="0.25">
      <c r="A98" s="1">
        <v>45251</v>
      </c>
      <c r="B98">
        <v>989.42584228515625</v>
      </c>
      <c r="C98">
        <v>726.74462890625</v>
      </c>
      <c r="D98">
        <v>903.54742431640625</v>
      </c>
      <c r="E98">
        <v>1326.1005859375</v>
      </c>
      <c r="F98">
        <v>1520.108154296875</v>
      </c>
    </row>
    <row r="99" spans="1:6" x14ac:dyDescent="0.25">
      <c r="A99" s="1">
        <v>45252</v>
      </c>
      <c r="B99">
        <v>995.71075439453125</v>
      </c>
      <c r="C99">
        <v>724.1593017578125</v>
      </c>
      <c r="D99">
        <v>900.279052734375</v>
      </c>
      <c r="E99">
        <v>1343.42578125</v>
      </c>
      <c r="F99">
        <v>1504.222290039062</v>
      </c>
    </row>
    <row r="100" spans="1:6" x14ac:dyDescent="0.25">
      <c r="A100" s="1">
        <v>45253</v>
      </c>
      <c r="B100">
        <v>996.65850830078125</v>
      </c>
      <c r="C100">
        <v>728.34857177734375</v>
      </c>
      <c r="D100">
        <v>900.52294921875</v>
      </c>
      <c r="E100">
        <v>1335.546508789062</v>
      </c>
      <c r="F100">
        <v>1506.561401367188</v>
      </c>
    </row>
    <row r="101" spans="1:6" x14ac:dyDescent="0.25">
      <c r="A101" s="1">
        <v>45254</v>
      </c>
      <c r="B101">
        <v>1006.0859375</v>
      </c>
      <c r="C101">
        <v>733.51922607421875</v>
      </c>
      <c r="D101">
        <v>906.76708984375</v>
      </c>
      <c r="E101">
        <v>1324.62646484375</v>
      </c>
      <c r="F101">
        <v>1513.724487304688</v>
      </c>
    </row>
    <row r="102" spans="1:6" x14ac:dyDescent="0.25">
      <c r="A102" s="1">
        <v>45258</v>
      </c>
      <c r="B102">
        <v>1018.705627441406</v>
      </c>
      <c r="C102">
        <v>731.867431640625</v>
      </c>
      <c r="D102">
        <v>902.96209716796875</v>
      </c>
      <c r="E102">
        <v>1329.510375976562</v>
      </c>
      <c r="F102">
        <v>1526.247924804688</v>
      </c>
    </row>
    <row r="103" spans="1:6" x14ac:dyDescent="0.25">
      <c r="A103" s="1">
        <v>45259</v>
      </c>
      <c r="B103">
        <v>1057.6123046875</v>
      </c>
      <c r="C103">
        <v>746.4698486328125</v>
      </c>
      <c r="D103">
        <v>916.71868896484375</v>
      </c>
      <c r="E103">
        <v>1345.08447265625</v>
      </c>
      <c r="F103">
        <v>1577.949584960938</v>
      </c>
    </row>
    <row r="104" spans="1:6" x14ac:dyDescent="0.25">
      <c r="A104" s="1">
        <v>45260</v>
      </c>
      <c r="B104">
        <v>1071.678466796875</v>
      </c>
      <c r="C104">
        <v>746.3023681640625</v>
      </c>
      <c r="D104">
        <v>912.18194580078125</v>
      </c>
      <c r="E104">
        <v>1340.983520507812</v>
      </c>
      <c r="F104">
        <v>1605.871459960938</v>
      </c>
    </row>
    <row r="105" spans="1:6" x14ac:dyDescent="0.25">
      <c r="A105" s="1">
        <v>45261</v>
      </c>
      <c r="B105">
        <v>1102.005737304688</v>
      </c>
      <c r="C105">
        <v>744.67449951171875</v>
      </c>
      <c r="D105">
        <v>923.64581298828125</v>
      </c>
      <c r="E105">
        <v>1338.357299804688</v>
      </c>
      <c r="F105">
        <v>1584.18701171875</v>
      </c>
    </row>
    <row r="106" spans="1:6" x14ac:dyDescent="0.25">
      <c r="A106" s="1">
        <v>45264</v>
      </c>
      <c r="B106">
        <v>1122.905517578125</v>
      </c>
      <c r="C106">
        <v>770.5279541015625</v>
      </c>
      <c r="D106">
        <v>967.0621337890625</v>
      </c>
      <c r="E106">
        <v>1349.461791992188</v>
      </c>
      <c r="F106">
        <v>1614.740234375</v>
      </c>
    </row>
    <row r="107" spans="1:6" x14ac:dyDescent="0.25">
      <c r="A107" s="1">
        <v>45265</v>
      </c>
      <c r="B107">
        <v>1129.739135742188</v>
      </c>
      <c r="C107">
        <v>777.37432861328125</v>
      </c>
      <c r="D107">
        <v>988.77032470703125</v>
      </c>
      <c r="E107">
        <v>1339.877685546875</v>
      </c>
      <c r="F107">
        <v>1643.198120117188</v>
      </c>
    </row>
    <row r="108" spans="1:6" x14ac:dyDescent="0.25">
      <c r="A108" s="1">
        <v>45266</v>
      </c>
      <c r="B108">
        <v>1117.817749023438</v>
      </c>
      <c r="C108">
        <v>779.33721923828125</v>
      </c>
      <c r="D108">
        <v>978.81866455078125</v>
      </c>
      <c r="E108">
        <v>1358.631225585938</v>
      </c>
      <c r="F108">
        <v>1659.132568359375</v>
      </c>
    </row>
    <row r="109" spans="1:6" x14ac:dyDescent="0.25">
      <c r="A109" s="1">
        <v>45267</v>
      </c>
      <c r="B109">
        <v>1115.174194335938</v>
      </c>
      <c r="C109">
        <v>780.60595703125</v>
      </c>
      <c r="D109">
        <v>974.67218017578125</v>
      </c>
      <c r="E109">
        <v>1350.890258789062</v>
      </c>
      <c r="F109">
        <v>1649.630249023438</v>
      </c>
    </row>
    <row r="110" spans="1:6" x14ac:dyDescent="0.25">
      <c r="A110" s="1">
        <v>45268</v>
      </c>
      <c r="B110">
        <v>1128.492065429688</v>
      </c>
      <c r="C110">
        <v>791.4979248046875</v>
      </c>
      <c r="D110">
        <v>986.23358154296875</v>
      </c>
      <c r="E110">
        <v>1374.159301757812</v>
      </c>
      <c r="F110">
        <v>1626.142822265625</v>
      </c>
    </row>
    <row r="111" spans="1:6" x14ac:dyDescent="0.25">
      <c r="A111" s="1">
        <v>45271</v>
      </c>
      <c r="B111">
        <v>1113.827392578125</v>
      </c>
      <c r="C111">
        <v>790.44464111328125</v>
      </c>
      <c r="D111">
        <v>992.3314208984375</v>
      </c>
      <c r="E111">
        <v>1371.717041015625</v>
      </c>
      <c r="F111">
        <v>1610.208374023438</v>
      </c>
    </row>
    <row r="112" spans="1:6" x14ac:dyDescent="0.25">
      <c r="A112" s="1">
        <v>45272</v>
      </c>
      <c r="B112">
        <v>1128.292724609375</v>
      </c>
      <c r="C112">
        <v>782.59283447265625</v>
      </c>
      <c r="D112">
        <v>990.96551513671875</v>
      </c>
      <c r="E112">
        <v>1360.244018554688</v>
      </c>
      <c r="F112">
        <v>1593.83544921875</v>
      </c>
    </row>
    <row r="113" spans="1:6" x14ac:dyDescent="0.25">
      <c r="A113" s="1">
        <v>45273</v>
      </c>
      <c r="B113">
        <v>1112.181274414062</v>
      </c>
      <c r="C113">
        <v>780.8214111328125</v>
      </c>
      <c r="D113">
        <v>989.2093505859375</v>
      </c>
      <c r="E113">
        <v>1335.316284179688</v>
      </c>
      <c r="F113">
        <v>1623.803955078125</v>
      </c>
    </row>
    <row r="114" spans="1:6" x14ac:dyDescent="0.25">
      <c r="A114" s="1">
        <v>45274</v>
      </c>
      <c r="B114">
        <v>1117.767822265625</v>
      </c>
      <c r="C114">
        <v>790.03765869140625</v>
      </c>
      <c r="D114">
        <v>1008.478393554688</v>
      </c>
      <c r="E114">
        <v>1383.651000976562</v>
      </c>
      <c r="F114">
        <v>1660.253295898438</v>
      </c>
    </row>
    <row r="115" spans="1:6" x14ac:dyDescent="0.25">
      <c r="A115" s="1">
        <v>45275</v>
      </c>
      <c r="B115">
        <v>1117.668090820312</v>
      </c>
      <c r="C115">
        <v>793.101806640625</v>
      </c>
      <c r="D115">
        <v>1012.137145996094</v>
      </c>
      <c r="E115">
        <v>1454.56396484375</v>
      </c>
      <c r="F115">
        <v>1681.109497070312</v>
      </c>
    </row>
    <row r="116" spans="1:6" x14ac:dyDescent="0.25">
      <c r="A116" s="1">
        <v>45278</v>
      </c>
      <c r="B116">
        <v>1108.689697265625</v>
      </c>
      <c r="C116">
        <v>792.69482421875</v>
      </c>
      <c r="D116">
        <v>996.5755615234375</v>
      </c>
      <c r="E116">
        <v>1441.616088867188</v>
      </c>
      <c r="F116">
        <v>1667.319091796875</v>
      </c>
    </row>
    <row r="117" spans="1:6" x14ac:dyDescent="0.25">
      <c r="A117" s="1">
        <v>45279</v>
      </c>
      <c r="B117">
        <v>1117.568359375</v>
      </c>
      <c r="C117">
        <v>791.35430908203125</v>
      </c>
      <c r="D117">
        <v>990.72161865234375</v>
      </c>
      <c r="E117">
        <v>1436.040771484375</v>
      </c>
      <c r="F117">
        <v>1656.160034179688</v>
      </c>
    </row>
    <row r="118" spans="1:6" x14ac:dyDescent="0.25">
      <c r="A118" s="1">
        <v>45280</v>
      </c>
      <c r="B118">
        <v>1107.592407226562</v>
      </c>
      <c r="C118">
        <v>793.31719970703125</v>
      </c>
      <c r="D118">
        <v>982.1358642578125</v>
      </c>
      <c r="E118">
        <v>1415.85888671875</v>
      </c>
      <c r="F118">
        <v>1605.091796875</v>
      </c>
    </row>
    <row r="119" spans="1:6" x14ac:dyDescent="0.25">
      <c r="A119" s="1">
        <v>45281</v>
      </c>
      <c r="B119">
        <v>1092.77783203125</v>
      </c>
      <c r="C119">
        <v>807.53656005859375</v>
      </c>
      <c r="D119">
        <v>979.940673828125</v>
      </c>
      <c r="E119">
        <v>1415.490478515625</v>
      </c>
      <c r="F119">
        <v>1592.32470703125</v>
      </c>
    </row>
    <row r="120" spans="1:6" x14ac:dyDescent="0.25">
      <c r="A120" s="1">
        <v>45282</v>
      </c>
      <c r="B120">
        <v>1085.694946289062</v>
      </c>
      <c r="C120">
        <v>799.9481201171875</v>
      </c>
      <c r="D120">
        <v>970.08660888671875</v>
      </c>
      <c r="E120">
        <v>1440.279907226562</v>
      </c>
      <c r="F120">
        <v>1592.714599609375</v>
      </c>
    </row>
    <row r="121" spans="1:6" x14ac:dyDescent="0.25">
      <c r="A121" s="1">
        <v>45286</v>
      </c>
      <c r="B121">
        <v>1091.630615234375</v>
      </c>
      <c r="C121">
        <v>805.5018310546875</v>
      </c>
      <c r="D121">
        <v>970.86712646484375</v>
      </c>
      <c r="E121">
        <v>1422.816528320312</v>
      </c>
      <c r="F121">
        <v>1620.003051757812</v>
      </c>
    </row>
    <row r="122" spans="1:6" x14ac:dyDescent="0.25">
      <c r="A122" s="1">
        <v>45287</v>
      </c>
      <c r="B122">
        <v>1103.70166015625</v>
      </c>
      <c r="C122">
        <v>815.48419189453125</v>
      </c>
      <c r="D122">
        <v>977.84307861328125</v>
      </c>
      <c r="E122">
        <v>1444.150268554688</v>
      </c>
      <c r="F122">
        <v>1645.0498046875</v>
      </c>
    </row>
    <row r="123" spans="1:6" x14ac:dyDescent="0.25">
      <c r="A123" s="1">
        <v>45288</v>
      </c>
      <c r="B123">
        <v>1105.197998046875</v>
      </c>
      <c r="C123">
        <v>816.417724609375</v>
      </c>
      <c r="D123">
        <v>981.4041748046875</v>
      </c>
      <c r="E123">
        <v>1440.049682617188</v>
      </c>
      <c r="F123">
        <v>1690.367919921875</v>
      </c>
    </row>
    <row r="124" spans="1:6" x14ac:dyDescent="0.25">
      <c r="A124" s="1">
        <v>45289</v>
      </c>
      <c r="B124">
        <v>1099.661376953125</v>
      </c>
      <c r="C124">
        <v>818.33282470703125</v>
      </c>
      <c r="D124">
        <v>972.33062744140625</v>
      </c>
      <c r="E124">
        <v>1421.848999023438</v>
      </c>
      <c r="F124">
        <v>1685.446411132812</v>
      </c>
    </row>
    <row r="125" spans="1:6" x14ac:dyDescent="0.25">
      <c r="A125" s="1">
        <v>45292</v>
      </c>
      <c r="B125">
        <v>1095.072265625</v>
      </c>
      <c r="C125">
        <v>812.9945068359375</v>
      </c>
      <c r="D125">
        <v>975.06243896484375</v>
      </c>
      <c r="E125">
        <v>1429.636108398438</v>
      </c>
      <c r="F125">
        <v>1660.009765625</v>
      </c>
    </row>
    <row r="126" spans="1:6" x14ac:dyDescent="0.25">
      <c r="A126" s="1">
        <v>45293</v>
      </c>
      <c r="B126">
        <v>1090.632934570312</v>
      </c>
      <c r="C126">
        <v>813.47332763671875</v>
      </c>
      <c r="D126">
        <v>958.33001708984375</v>
      </c>
      <c r="E126">
        <v>1414.015869140625</v>
      </c>
      <c r="F126">
        <v>1614.106689453125</v>
      </c>
    </row>
    <row r="127" spans="1:6" x14ac:dyDescent="0.25">
      <c r="A127" s="1">
        <v>45294</v>
      </c>
      <c r="B127">
        <v>1095.97021484375</v>
      </c>
      <c r="C127">
        <v>800.92962646484375</v>
      </c>
      <c r="D127">
        <v>960.0863037109375</v>
      </c>
      <c r="E127">
        <v>1373.099487304688</v>
      </c>
      <c r="F127">
        <v>1613.180786132812</v>
      </c>
    </row>
    <row r="128" spans="1:6" x14ac:dyDescent="0.25">
      <c r="A128" s="1">
        <v>45295</v>
      </c>
      <c r="B128">
        <v>1120.7109375</v>
      </c>
      <c r="C128">
        <v>809.52349853515625</v>
      </c>
      <c r="D128">
        <v>963.11077880859375</v>
      </c>
      <c r="E128">
        <v>1394.018432617188</v>
      </c>
      <c r="F128">
        <v>1599.975341796875</v>
      </c>
    </row>
    <row r="129" spans="1:6" x14ac:dyDescent="0.25">
      <c r="A129" s="1">
        <v>45296</v>
      </c>
      <c r="B129">
        <v>1134.228271484375</v>
      </c>
      <c r="C129">
        <v>805.38214111328125</v>
      </c>
      <c r="D129">
        <v>969.501220703125</v>
      </c>
      <c r="E129">
        <v>1412.311157226562</v>
      </c>
      <c r="F129">
        <v>1600.267700195312</v>
      </c>
    </row>
    <row r="130" spans="1:6" x14ac:dyDescent="0.25">
      <c r="A130" s="1">
        <v>45299</v>
      </c>
      <c r="B130">
        <v>1119.314208984375</v>
      </c>
      <c r="C130">
        <v>796.40521240234375</v>
      </c>
      <c r="D130">
        <v>958.08612060546875</v>
      </c>
      <c r="E130">
        <v>1403.326049804688</v>
      </c>
      <c r="F130">
        <v>1575.074584960938</v>
      </c>
    </row>
    <row r="131" spans="1:6" x14ac:dyDescent="0.25">
      <c r="A131" s="1">
        <v>45300</v>
      </c>
      <c r="B131">
        <v>1113.877319335938</v>
      </c>
      <c r="C131">
        <v>790.20526123046875</v>
      </c>
      <c r="D131">
        <v>955.89093017578125</v>
      </c>
      <c r="E131">
        <v>1409.316162109375</v>
      </c>
      <c r="F131">
        <v>1588.475219726562</v>
      </c>
    </row>
    <row r="132" spans="1:6" x14ac:dyDescent="0.25">
      <c r="A132" s="1">
        <v>45301</v>
      </c>
      <c r="B132">
        <v>1104.35009765625</v>
      </c>
      <c r="C132">
        <v>792.814453125</v>
      </c>
      <c r="D132">
        <v>968.8670654296875</v>
      </c>
      <c r="E132">
        <v>1400.653564453125</v>
      </c>
      <c r="F132">
        <v>1591.301513671875</v>
      </c>
    </row>
    <row r="133" spans="1:6" x14ac:dyDescent="0.25">
      <c r="A133" s="1">
        <v>45302</v>
      </c>
      <c r="B133">
        <v>1123.05517578125</v>
      </c>
      <c r="C133">
        <v>789.48712158203125</v>
      </c>
      <c r="D133">
        <v>967.01336669921875</v>
      </c>
      <c r="E133">
        <v>1376.969848632812</v>
      </c>
      <c r="F133">
        <v>1587.257080078125</v>
      </c>
    </row>
    <row r="134" spans="1:6" x14ac:dyDescent="0.25">
      <c r="A134" s="1">
        <v>45303</v>
      </c>
      <c r="B134">
        <v>1117.668090820312</v>
      </c>
      <c r="C134">
        <v>785.752685546875</v>
      </c>
      <c r="D134">
        <v>979.0626220703125</v>
      </c>
      <c r="E134">
        <v>1486.218872070312</v>
      </c>
      <c r="F134">
        <v>1583.163696289062</v>
      </c>
    </row>
    <row r="135" spans="1:6" x14ac:dyDescent="0.25">
      <c r="A135" s="1">
        <v>45306</v>
      </c>
      <c r="B135">
        <v>1116.820190429688</v>
      </c>
      <c r="C135">
        <v>800.88177490234375</v>
      </c>
      <c r="D135">
        <v>985.2579345703125</v>
      </c>
      <c r="E135">
        <v>1522.481567382812</v>
      </c>
      <c r="F135">
        <v>1593.981689453125</v>
      </c>
    </row>
    <row r="136" spans="1:6" x14ac:dyDescent="0.25">
      <c r="A136" s="1">
        <v>45307</v>
      </c>
      <c r="B136">
        <v>1116.421142578125</v>
      </c>
      <c r="C136">
        <v>803.92193603515625</v>
      </c>
      <c r="D136">
        <v>984.47747802734375</v>
      </c>
      <c r="E136">
        <v>1503.543823242188</v>
      </c>
      <c r="F136">
        <v>1579.16796875</v>
      </c>
    </row>
    <row r="137" spans="1:6" x14ac:dyDescent="0.25">
      <c r="A137" s="1">
        <v>45308</v>
      </c>
      <c r="B137">
        <v>1079.709228515625</v>
      </c>
      <c r="C137">
        <v>736.10455322265625</v>
      </c>
      <c r="D137">
        <v>957.84228515625</v>
      </c>
      <c r="E137">
        <v>1511.51513671875</v>
      </c>
      <c r="F137">
        <v>1557.093505859375</v>
      </c>
    </row>
    <row r="138" spans="1:6" x14ac:dyDescent="0.25">
      <c r="A138" s="1">
        <v>45309</v>
      </c>
      <c r="B138">
        <v>1094.872802734375</v>
      </c>
      <c r="C138">
        <v>711.51983642578125</v>
      </c>
      <c r="D138">
        <v>962.3302001953125</v>
      </c>
      <c r="E138">
        <v>1513.726928710938</v>
      </c>
      <c r="F138">
        <v>1576.146728515625</v>
      </c>
    </row>
    <row r="139" spans="1:6" x14ac:dyDescent="0.25">
      <c r="A139" s="1">
        <v>45310</v>
      </c>
      <c r="B139">
        <v>1113.877319335938</v>
      </c>
      <c r="C139">
        <v>704.09893798828125</v>
      </c>
      <c r="D139">
        <v>974.8673095703125</v>
      </c>
      <c r="E139">
        <v>1529.0244140625</v>
      </c>
      <c r="F139">
        <v>1613.473266601562</v>
      </c>
    </row>
    <row r="140" spans="1:6" x14ac:dyDescent="0.25">
      <c r="A140" s="1">
        <v>45314</v>
      </c>
      <c r="B140">
        <v>1086.642578125</v>
      </c>
      <c r="C140">
        <v>683.36834716796875</v>
      </c>
      <c r="D140">
        <v>1003.990417480469</v>
      </c>
      <c r="E140">
        <v>1513.312255859375</v>
      </c>
      <c r="F140">
        <v>1554.657104492188</v>
      </c>
    </row>
    <row r="141" spans="1:6" x14ac:dyDescent="0.25">
      <c r="A141" s="1">
        <v>45315</v>
      </c>
      <c r="B141">
        <v>1056.61474609375</v>
      </c>
      <c r="C141">
        <v>697.037109375</v>
      </c>
      <c r="D141">
        <v>974.8673095703125</v>
      </c>
      <c r="E141">
        <v>1543.953491210938</v>
      </c>
      <c r="F141">
        <v>1586.720947265625</v>
      </c>
    </row>
    <row r="142" spans="1:6" x14ac:dyDescent="0.25">
      <c r="A142" s="1">
        <v>45316</v>
      </c>
      <c r="B142">
        <v>1039.755126953125</v>
      </c>
      <c r="C142">
        <v>686.9830322265625</v>
      </c>
      <c r="D142">
        <v>985.35552978515625</v>
      </c>
      <c r="E142">
        <v>1538.147705078125</v>
      </c>
      <c r="F142">
        <v>1593.932861328125</v>
      </c>
    </row>
    <row r="143" spans="1:6" x14ac:dyDescent="0.25">
      <c r="A143" s="1">
        <v>45320</v>
      </c>
      <c r="B143">
        <v>1058.709594726562</v>
      </c>
      <c r="C143">
        <v>696.438720703125</v>
      </c>
      <c r="D143">
        <v>991.64849853515625</v>
      </c>
      <c r="E143">
        <v>1526.628540039062</v>
      </c>
      <c r="F143">
        <v>1598.318603515625</v>
      </c>
    </row>
    <row r="144" spans="1:6" x14ac:dyDescent="0.25">
      <c r="A144" s="1">
        <v>45321</v>
      </c>
      <c r="B144">
        <v>1051.57666015625</v>
      </c>
      <c r="C144">
        <v>691.4835205078125</v>
      </c>
      <c r="D144">
        <v>992.1363525390625</v>
      </c>
      <c r="E144">
        <v>1521.882446289062</v>
      </c>
      <c r="F144">
        <v>1579.16796875</v>
      </c>
    </row>
    <row r="145" spans="1:6" x14ac:dyDescent="0.25">
      <c r="A145" s="1">
        <v>45322</v>
      </c>
      <c r="B145">
        <v>1065.193969726562</v>
      </c>
      <c r="C145">
        <v>700.22100830078125</v>
      </c>
      <c r="D145">
        <v>1003.112365722656</v>
      </c>
      <c r="E145">
        <v>1530.591064453125</v>
      </c>
      <c r="F145">
        <v>1609.574951171875</v>
      </c>
    </row>
    <row r="146" spans="1:6" x14ac:dyDescent="0.25">
      <c r="A146" s="1">
        <v>45323</v>
      </c>
      <c r="B146">
        <v>1081.654541015625</v>
      </c>
      <c r="C146">
        <v>702.04022216796875</v>
      </c>
      <c r="D146">
        <v>1000.185363769531</v>
      </c>
      <c r="E146">
        <v>1527.043212890625</v>
      </c>
      <c r="F146">
        <v>1609.185180664062</v>
      </c>
    </row>
    <row r="147" spans="1:6" x14ac:dyDescent="0.25">
      <c r="A147" s="1">
        <v>45324</v>
      </c>
      <c r="B147">
        <v>1064.495727539062</v>
      </c>
      <c r="C147">
        <v>692.3692626953125</v>
      </c>
      <c r="D147">
        <v>999.0633544921875</v>
      </c>
      <c r="E147">
        <v>1560.494995117188</v>
      </c>
      <c r="F147">
        <v>1618.541137695312</v>
      </c>
    </row>
    <row r="148" spans="1:6" x14ac:dyDescent="0.25">
      <c r="A148" s="1">
        <v>45327</v>
      </c>
      <c r="B148">
        <v>1058.958984375</v>
      </c>
      <c r="C148">
        <v>691.74676513671875</v>
      </c>
      <c r="D148">
        <v>998.5755615234375</v>
      </c>
      <c r="E148">
        <v>1554.827758789062</v>
      </c>
      <c r="F148">
        <v>1660.253295898438</v>
      </c>
    </row>
    <row r="149" spans="1:6" x14ac:dyDescent="0.25">
      <c r="A149" s="1">
        <v>45328</v>
      </c>
      <c r="B149">
        <v>1047.536499023438</v>
      </c>
      <c r="C149">
        <v>691.3876953125</v>
      </c>
      <c r="D149">
        <v>1001.404968261719</v>
      </c>
      <c r="E149">
        <v>1593.762939453125</v>
      </c>
      <c r="F149">
        <v>1683.740844726562</v>
      </c>
    </row>
    <row r="150" spans="1:6" x14ac:dyDescent="0.25">
      <c r="A150" s="1">
        <v>45329</v>
      </c>
      <c r="B150">
        <v>1066.540771484375</v>
      </c>
      <c r="C150">
        <v>684.6131591796875</v>
      </c>
      <c r="D150">
        <v>997.25848388671875</v>
      </c>
      <c r="E150">
        <v>1560.863891601562</v>
      </c>
      <c r="F150">
        <v>1677.259887695312</v>
      </c>
    </row>
    <row r="151" spans="1:6" x14ac:dyDescent="0.25">
      <c r="A151" s="1">
        <v>45330</v>
      </c>
      <c r="B151">
        <v>1033.420288085938</v>
      </c>
      <c r="C151">
        <v>671.73431396484375</v>
      </c>
      <c r="D151">
        <v>965.20843505859375</v>
      </c>
      <c r="E151">
        <v>1559.343139648438</v>
      </c>
      <c r="F151">
        <v>1643.051879882812</v>
      </c>
    </row>
    <row r="152" spans="1:6" x14ac:dyDescent="0.25">
      <c r="A152" s="1">
        <v>45331</v>
      </c>
      <c r="B152">
        <v>1048.88330078125</v>
      </c>
      <c r="C152">
        <v>671.99761962890625</v>
      </c>
      <c r="D152">
        <v>986.0872802734375</v>
      </c>
      <c r="E152">
        <v>1538.378173828125</v>
      </c>
      <c r="F152">
        <v>1604.555908203125</v>
      </c>
    </row>
    <row r="153" spans="1:6" x14ac:dyDescent="0.25">
      <c r="A153" s="1">
        <v>45334</v>
      </c>
      <c r="B153">
        <v>1044.1943359375</v>
      </c>
      <c r="C153">
        <v>665.4864501953125</v>
      </c>
      <c r="D153">
        <v>971.84283447265625</v>
      </c>
      <c r="E153">
        <v>1548.28466796875</v>
      </c>
      <c r="F153">
        <v>1618.248779296875</v>
      </c>
    </row>
    <row r="154" spans="1:6" x14ac:dyDescent="0.25">
      <c r="A154" s="1">
        <v>45335</v>
      </c>
      <c r="B154">
        <v>1068.186889648438</v>
      </c>
      <c r="C154">
        <v>667.61688232421875</v>
      </c>
      <c r="D154">
        <v>994.96563720703125</v>
      </c>
      <c r="E154">
        <v>1552.385620117188</v>
      </c>
      <c r="F154">
        <v>1604.89697265625</v>
      </c>
    </row>
    <row r="155" spans="1:6" x14ac:dyDescent="0.25">
      <c r="A155" s="1">
        <v>45336</v>
      </c>
      <c r="B155">
        <v>1094.224365234375</v>
      </c>
      <c r="C155">
        <v>662.6378173828125</v>
      </c>
      <c r="D155">
        <v>997.7950439453125</v>
      </c>
      <c r="E155">
        <v>1535.475219726562</v>
      </c>
      <c r="F155">
        <v>1614.935180664062</v>
      </c>
    </row>
    <row r="156" spans="1:6" x14ac:dyDescent="0.25">
      <c r="A156" s="1">
        <v>45337</v>
      </c>
      <c r="B156">
        <v>1069.63330078125</v>
      </c>
      <c r="C156">
        <v>677.00079345703125</v>
      </c>
      <c r="D156">
        <v>991.89239501953125</v>
      </c>
      <c r="E156">
        <v>1544.828857421875</v>
      </c>
      <c r="F156">
        <v>1720.1904296875</v>
      </c>
    </row>
    <row r="157" spans="1:6" x14ac:dyDescent="0.25">
      <c r="A157" s="1">
        <v>45338</v>
      </c>
      <c r="B157">
        <v>1066.191650390625</v>
      </c>
      <c r="C157">
        <v>679.80157470703125</v>
      </c>
      <c r="D157">
        <v>998.3316650390625</v>
      </c>
      <c r="E157">
        <v>1568.14404296875</v>
      </c>
      <c r="F157">
        <v>1788.898681640625</v>
      </c>
    </row>
    <row r="158" spans="1:6" x14ac:dyDescent="0.25">
      <c r="A158" s="1">
        <v>45341</v>
      </c>
      <c r="B158">
        <v>1060.405517578125</v>
      </c>
      <c r="C158">
        <v>678.4610595703125</v>
      </c>
      <c r="D158">
        <v>1018.332397460938</v>
      </c>
      <c r="E158">
        <v>1566.393188476562</v>
      </c>
      <c r="F158">
        <v>1801.568115234375</v>
      </c>
    </row>
    <row r="159" spans="1:6" x14ac:dyDescent="0.25">
      <c r="A159" s="1">
        <v>45342</v>
      </c>
      <c r="B159">
        <v>1085.994140625</v>
      </c>
      <c r="C159">
        <v>696.27117919921875</v>
      </c>
      <c r="D159">
        <v>1023.210754394531</v>
      </c>
      <c r="E159">
        <v>1553.030639648438</v>
      </c>
      <c r="F159">
        <v>1806.53857421875</v>
      </c>
    </row>
    <row r="160" spans="1:6" x14ac:dyDescent="0.25">
      <c r="A160" s="1">
        <v>45343</v>
      </c>
      <c r="B160">
        <v>1081.604614257812</v>
      </c>
      <c r="C160">
        <v>689.017822265625</v>
      </c>
      <c r="D160">
        <v>1026.332763671875</v>
      </c>
      <c r="E160">
        <v>1525.660888671875</v>
      </c>
      <c r="F160">
        <v>1812.385986328125</v>
      </c>
    </row>
    <row r="161" spans="1:6" x14ac:dyDescent="0.25">
      <c r="A161" s="1">
        <v>45344</v>
      </c>
      <c r="B161">
        <v>1098.264770507812</v>
      </c>
      <c r="C161">
        <v>679.634033203125</v>
      </c>
      <c r="D161">
        <v>1036.820922851562</v>
      </c>
      <c r="E161">
        <v>1549.436767578125</v>
      </c>
      <c r="F161">
        <v>1861.797485351562</v>
      </c>
    </row>
    <row r="162" spans="1:6" x14ac:dyDescent="0.25">
      <c r="A162" s="1">
        <v>45345</v>
      </c>
      <c r="B162">
        <v>1094.174560546875</v>
      </c>
      <c r="C162">
        <v>680.13665771484375</v>
      </c>
      <c r="D162">
        <v>1035.455078125</v>
      </c>
      <c r="E162">
        <v>1545.289794921875</v>
      </c>
      <c r="F162">
        <v>1880.899169921875</v>
      </c>
    </row>
    <row r="163" spans="1:6" x14ac:dyDescent="0.25">
      <c r="A163" s="1">
        <v>45348</v>
      </c>
      <c r="B163">
        <v>1082.602294921875</v>
      </c>
      <c r="C163">
        <v>680.9505615234375</v>
      </c>
      <c r="D163">
        <v>1028.527954101562</v>
      </c>
      <c r="E163">
        <v>1529.900024414062</v>
      </c>
      <c r="F163">
        <v>1880.753173828125</v>
      </c>
    </row>
    <row r="164" spans="1:6" x14ac:dyDescent="0.25">
      <c r="A164" s="1">
        <v>45349</v>
      </c>
      <c r="B164">
        <v>1076.467041015625</v>
      </c>
      <c r="C164">
        <v>679.92120361328125</v>
      </c>
      <c r="D164">
        <v>1034.381713867188</v>
      </c>
      <c r="E164">
        <v>1533.079345703125</v>
      </c>
      <c r="F164">
        <v>1901.0244140625</v>
      </c>
    </row>
    <row r="165" spans="1:6" x14ac:dyDescent="0.25">
      <c r="A165" s="1">
        <v>45350</v>
      </c>
      <c r="B165">
        <v>1071.628540039062</v>
      </c>
      <c r="C165">
        <v>674.7745361328125</v>
      </c>
      <c r="D165">
        <v>1020.72265625</v>
      </c>
      <c r="E165">
        <v>1540.129150390625</v>
      </c>
      <c r="F165">
        <v>1853.318481445312</v>
      </c>
    </row>
    <row r="166" spans="1:6" x14ac:dyDescent="0.25">
      <c r="A166" s="1">
        <v>45351</v>
      </c>
      <c r="B166">
        <v>1072.5263671875</v>
      </c>
      <c r="C166">
        <v>671.90191650390625</v>
      </c>
      <c r="D166">
        <v>1026.57666015625</v>
      </c>
      <c r="E166">
        <v>1542.5712890625</v>
      </c>
      <c r="F166">
        <v>1883.286987304688</v>
      </c>
    </row>
    <row r="167" spans="1:6" x14ac:dyDescent="0.25">
      <c r="A167" s="1">
        <v>45352</v>
      </c>
      <c r="B167">
        <v>1096.618530273438</v>
      </c>
      <c r="C167">
        <v>684.99615478515625</v>
      </c>
      <c r="D167">
        <v>1060.431640625</v>
      </c>
      <c r="E167">
        <v>1524.87744140625</v>
      </c>
      <c r="F167">
        <v>1922.806274414062</v>
      </c>
    </row>
    <row r="168" spans="1:6" x14ac:dyDescent="0.25">
      <c r="A168" s="1">
        <v>45355</v>
      </c>
      <c r="B168">
        <v>1104.100708007812</v>
      </c>
      <c r="C168">
        <v>685.9296875</v>
      </c>
      <c r="D168">
        <v>1065.748779296875</v>
      </c>
      <c r="E168">
        <v>1508.750610351562</v>
      </c>
      <c r="F168">
        <v>1872.225463867188</v>
      </c>
    </row>
    <row r="169" spans="1:6" x14ac:dyDescent="0.25">
      <c r="A169" s="1">
        <v>45356</v>
      </c>
      <c r="B169">
        <v>1098.1650390625</v>
      </c>
      <c r="C169">
        <v>689.8316650390625</v>
      </c>
      <c r="D169">
        <v>1061.553588867188</v>
      </c>
      <c r="E169">
        <v>1480.459228515625</v>
      </c>
      <c r="F169">
        <v>1889.962890625</v>
      </c>
    </row>
    <row r="170" spans="1:6" x14ac:dyDescent="0.25">
      <c r="A170" s="1">
        <v>45357</v>
      </c>
      <c r="B170">
        <v>1122.307006835938</v>
      </c>
      <c r="C170">
        <v>690.6695556640625</v>
      </c>
      <c r="D170">
        <v>1070.383178710938</v>
      </c>
      <c r="E170">
        <v>1490.642333984375</v>
      </c>
      <c r="F170">
        <v>1920.564819335938</v>
      </c>
    </row>
    <row r="171" spans="1:6" x14ac:dyDescent="0.25">
      <c r="A171" s="1">
        <v>45358</v>
      </c>
      <c r="B171">
        <v>1108.789306640625</v>
      </c>
      <c r="C171">
        <v>692.34521484375</v>
      </c>
      <c r="D171">
        <v>1061.4560546875</v>
      </c>
      <c r="E171">
        <v>1489.628540039062</v>
      </c>
      <c r="F171">
        <v>1849.32275390625</v>
      </c>
    </row>
    <row r="172" spans="1:6" x14ac:dyDescent="0.25">
      <c r="A172" s="1">
        <v>45362</v>
      </c>
      <c r="B172">
        <v>1102.454711914062</v>
      </c>
      <c r="C172">
        <v>683.58380126953125</v>
      </c>
      <c r="D172">
        <v>1052.431274414062</v>
      </c>
      <c r="E172">
        <v>1475.022094726562</v>
      </c>
      <c r="F172">
        <v>1846.2041015625</v>
      </c>
    </row>
    <row r="173" spans="1:6" x14ac:dyDescent="0.25">
      <c r="A173" s="1">
        <v>45363</v>
      </c>
      <c r="B173">
        <v>1094.3740234375</v>
      </c>
      <c r="C173">
        <v>698.78472900390625</v>
      </c>
      <c r="D173">
        <v>1050.626342773438</v>
      </c>
      <c r="E173">
        <v>1486.402954101562</v>
      </c>
      <c r="F173">
        <v>1846.983764648438</v>
      </c>
    </row>
    <row r="174" spans="1:6" x14ac:dyDescent="0.25">
      <c r="A174" s="1">
        <v>45364</v>
      </c>
      <c r="B174">
        <v>1077.813720703125</v>
      </c>
      <c r="C174">
        <v>699.19158935546875</v>
      </c>
      <c r="D174">
        <v>1057.553344726562</v>
      </c>
      <c r="E174">
        <v>1484.974731445312</v>
      </c>
      <c r="F174">
        <v>1806.587158203125</v>
      </c>
    </row>
    <row r="175" spans="1:6" x14ac:dyDescent="0.25">
      <c r="A175" s="1">
        <v>45365</v>
      </c>
      <c r="B175">
        <v>1055.716796875</v>
      </c>
      <c r="C175">
        <v>696.8216552734375</v>
      </c>
      <c r="D175">
        <v>1057.2119140625</v>
      </c>
      <c r="E175">
        <v>1523.587524414062</v>
      </c>
      <c r="F175">
        <v>1842.500732421875</v>
      </c>
    </row>
    <row r="176" spans="1:6" x14ac:dyDescent="0.25">
      <c r="A176" s="1">
        <v>45366</v>
      </c>
      <c r="B176">
        <v>1043.895263671875</v>
      </c>
      <c r="C176">
        <v>695.48114013671875</v>
      </c>
      <c r="D176">
        <v>1054.041015625</v>
      </c>
      <c r="E176">
        <v>1505.801635742188</v>
      </c>
      <c r="F176">
        <v>1753.764770507812</v>
      </c>
    </row>
    <row r="177" spans="1:6" x14ac:dyDescent="0.25">
      <c r="A177" s="1">
        <v>45369</v>
      </c>
      <c r="B177">
        <v>1058.809326171875</v>
      </c>
      <c r="C177">
        <v>692.32135009765625</v>
      </c>
      <c r="D177">
        <v>1054.870361328125</v>
      </c>
      <c r="E177">
        <v>1476.911254882812</v>
      </c>
      <c r="F177">
        <v>1808.877563476562</v>
      </c>
    </row>
    <row r="178" spans="1:6" x14ac:dyDescent="0.25">
      <c r="A178" s="1">
        <v>45370</v>
      </c>
      <c r="B178">
        <v>1048.28466796875</v>
      </c>
      <c r="C178">
        <v>693.90118408203125</v>
      </c>
      <c r="D178">
        <v>1057.553344726562</v>
      </c>
      <c r="E178">
        <v>1438.943725585938</v>
      </c>
      <c r="F178">
        <v>1797.036254882812</v>
      </c>
    </row>
    <row r="179" spans="1:6" x14ac:dyDescent="0.25">
      <c r="A179" s="1">
        <v>45371</v>
      </c>
      <c r="B179">
        <v>1032.273071289062</v>
      </c>
      <c r="C179">
        <v>685.1397705078125</v>
      </c>
      <c r="D179">
        <v>1058.089965820312</v>
      </c>
      <c r="E179">
        <v>1432.953369140625</v>
      </c>
      <c r="F179">
        <v>1797.523559570312</v>
      </c>
    </row>
    <row r="180" spans="1:6" x14ac:dyDescent="0.25">
      <c r="A180" s="1">
        <v>45372</v>
      </c>
      <c r="B180">
        <v>1033.120971679688</v>
      </c>
      <c r="C180">
        <v>692.1776123046875</v>
      </c>
      <c r="D180">
        <v>1055.455810546875</v>
      </c>
      <c r="E180">
        <v>1432.72314453125</v>
      </c>
      <c r="F180">
        <v>1818.428344726562</v>
      </c>
    </row>
    <row r="181" spans="1:6" x14ac:dyDescent="0.25">
      <c r="A181" s="1">
        <v>45373</v>
      </c>
      <c r="B181">
        <v>1030.826538085938</v>
      </c>
      <c r="C181">
        <v>690.7891845703125</v>
      </c>
      <c r="D181">
        <v>1063.748901367188</v>
      </c>
      <c r="E181">
        <v>1390.470336914062</v>
      </c>
      <c r="F181">
        <v>1831.04931640625</v>
      </c>
    </row>
    <row r="182" spans="1:6" x14ac:dyDescent="0.25">
      <c r="A182" s="1">
        <v>45377</v>
      </c>
      <c r="B182">
        <v>1038.059204101562</v>
      </c>
      <c r="C182">
        <v>682.434814453125</v>
      </c>
      <c r="D182">
        <v>1057.309448242188</v>
      </c>
      <c r="E182">
        <v>1375.541381835938</v>
      </c>
      <c r="F182">
        <v>1816.57666015625</v>
      </c>
    </row>
    <row r="183" spans="1:6" x14ac:dyDescent="0.25">
      <c r="A183" s="1">
        <v>45378</v>
      </c>
      <c r="B183">
        <v>1050.329711914062</v>
      </c>
      <c r="C183">
        <v>689.7598876953125</v>
      </c>
      <c r="D183">
        <v>1057.3583984375</v>
      </c>
      <c r="E183">
        <v>1367.431762695312</v>
      </c>
      <c r="F183">
        <v>1833.339599609375</v>
      </c>
    </row>
    <row r="184" spans="1:6" x14ac:dyDescent="0.25">
      <c r="A184" s="1">
        <v>45379</v>
      </c>
      <c r="B184">
        <v>1044.693237304688</v>
      </c>
      <c r="C184">
        <v>693.20697021484375</v>
      </c>
      <c r="D184">
        <v>1066.67578125</v>
      </c>
      <c r="E184">
        <v>1380.517822265625</v>
      </c>
      <c r="F184">
        <v>1872.517822265625</v>
      </c>
    </row>
    <row r="185" spans="1:6" x14ac:dyDescent="0.25">
      <c r="A185" s="1">
        <v>45383</v>
      </c>
      <c r="B185">
        <v>1050.5791015625</v>
      </c>
      <c r="C185">
        <v>704.027099609375</v>
      </c>
      <c r="D185">
        <v>1072.871215820312</v>
      </c>
      <c r="E185">
        <v>1378.121704101562</v>
      </c>
      <c r="F185">
        <v>1867.255004882812</v>
      </c>
    </row>
    <row r="186" spans="1:6" x14ac:dyDescent="0.25">
      <c r="A186" s="1">
        <v>45384</v>
      </c>
      <c r="B186">
        <v>1044.693237304688</v>
      </c>
      <c r="C186">
        <v>708.64727783203125</v>
      </c>
      <c r="D186">
        <v>1054.870361328125</v>
      </c>
      <c r="E186">
        <v>1366.51025390625</v>
      </c>
      <c r="F186">
        <v>1921.831665039062</v>
      </c>
    </row>
    <row r="187" spans="1:6" x14ac:dyDescent="0.25">
      <c r="A187" s="1">
        <v>45385</v>
      </c>
      <c r="B187">
        <v>1060.704833984375</v>
      </c>
      <c r="C187">
        <v>709.67657470703125</v>
      </c>
      <c r="D187">
        <v>1050.9677734375</v>
      </c>
      <c r="E187">
        <v>1364.483032226562</v>
      </c>
      <c r="F187">
        <v>1938.740844726562</v>
      </c>
    </row>
    <row r="188" spans="1:6" x14ac:dyDescent="0.25">
      <c r="A188" s="1">
        <v>45386</v>
      </c>
      <c r="B188">
        <v>1060.405517578125</v>
      </c>
      <c r="C188">
        <v>731.36474609375</v>
      </c>
      <c r="D188">
        <v>1052.57763671875</v>
      </c>
      <c r="E188">
        <v>1370.058227539062</v>
      </c>
      <c r="F188">
        <v>1951.80029296875</v>
      </c>
    </row>
    <row r="189" spans="1:6" x14ac:dyDescent="0.25">
      <c r="A189" s="1">
        <v>45387</v>
      </c>
      <c r="B189">
        <v>1056.564697265625</v>
      </c>
      <c r="C189">
        <v>741.87371826171875</v>
      </c>
      <c r="D189">
        <v>1057.016967773438</v>
      </c>
      <c r="E189">
        <v>1363.054443359375</v>
      </c>
      <c r="F189">
        <v>1962.130859375</v>
      </c>
    </row>
    <row r="190" spans="1:6" x14ac:dyDescent="0.25">
      <c r="A190" s="1">
        <v>45390</v>
      </c>
      <c r="B190">
        <v>1073.474243164062</v>
      </c>
      <c r="C190">
        <v>740.46136474609375</v>
      </c>
      <c r="D190">
        <v>1060.675537109375</v>
      </c>
      <c r="E190">
        <v>1360.842895507812</v>
      </c>
      <c r="F190">
        <v>2025.284057617188</v>
      </c>
    </row>
    <row r="191" spans="1:6" x14ac:dyDescent="0.25">
      <c r="A191" s="1">
        <v>45391</v>
      </c>
      <c r="B191">
        <v>1077.414672851562</v>
      </c>
      <c r="C191">
        <v>741.39495849609375</v>
      </c>
      <c r="D191">
        <v>1080.091064453125</v>
      </c>
      <c r="E191">
        <v>1377.56884765625</v>
      </c>
      <c r="F191">
        <v>2037.758422851562</v>
      </c>
    </row>
    <row r="192" spans="1:6" x14ac:dyDescent="0.25">
      <c r="A192" s="1">
        <v>45392</v>
      </c>
      <c r="B192">
        <v>1085.196044921875</v>
      </c>
      <c r="C192">
        <v>735.55401611328125</v>
      </c>
      <c r="D192">
        <v>1082.3837890625</v>
      </c>
      <c r="E192">
        <v>1388.581298828125</v>
      </c>
      <c r="F192">
        <v>2023.432250976562</v>
      </c>
    </row>
    <row r="193" spans="1:6" x14ac:dyDescent="0.25">
      <c r="A193" s="1">
        <v>45394</v>
      </c>
      <c r="B193">
        <v>1070.88037109375</v>
      </c>
      <c r="C193">
        <v>727.223388671875</v>
      </c>
      <c r="D193">
        <v>1077.505615234375</v>
      </c>
      <c r="E193">
        <v>1368.26123046875</v>
      </c>
      <c r="F193">
        <v>2018.315673828125</v>
      </c>
    </row>
    <row r="194" spans="1:6" x14ac:dyDescent="0.25">
      <c r="A194" s="1">
        <v>45397</v>
      </c>
      <c r="B194">
        <v>1055.41748046875</v>
      </c>
      <c r="C194">
        <v>715.61328125</v>
      </c>
      <c r="D194">
        <v>1052.08984375</v>
      </c>
      <c r="E194">
        <v>1352.963745117188</v>
      </c>
      <c r="F194">
        <v>2001.260375976562</v>
      </c>
    </row>
    <row r="195" spans="1:6" x14ac:dyDescent="0.25">
      <c r="A195" s="1">
        <v>45398</v>
      </c>
      <c r="B195">
        <v>1049.381958007812</v>
      </c>
      <c r="C195">
        <v>722.57940673828125</v>
      </c>
      <c r="D195">
        <v>1041.06494140625</v>
      </c>
      <c r="E195">
        <v>1303.476684570312</v>
      </c>
      <c r="F195">
        <v>1979.673461914062</v>
      </c>
    </row>
    <row r="196" spans="1:6" x14ac:dyDescent="0.25">
      <c r="A196" s="1">
        <v>45400</v>
      </c>
      <c r="B196">
        <v>1021.548767089844</v>
      </c>
      <c r="C196">
        <v>715.61328125</v>
      </c>
      <c r="D196">
        <v>1029.747436523438</v>
      </c>
      <c r="E196">
        <v>1307.900268554688</v>
      </c>
      <c r="F196">
        <v>1973.484741210938</v>
      </c>
    </row>
    <row r="197" spans="1:6" x14ac:dyDescent="0.25">
      <c r="A197" s="1">
        <v>45401</v>
      </c>
      <c r="B197">
        <v>1026.636474609375</v>
      </c>
      <c r="C197">
        <v>733.13623046875</v>
      </c>
      <c r="D197">
        <v>1041.260131835938</v>
      </c>
      <c r="E197">
        <v>1300.52783203125</v>
      </c>
      <c r="F197">
        <v>2029.9619140625</v>
      </c>
    </row>
    <row r="198" spans="1:6" x14ac:dyDescent="0.25">
      <c r="A198" s="1">
        <v>45404</v>
      </c>
      <c r="B198">
        <v>1051.427001953125</v>
      </c>
      <c r="C198">
        <v>723.99169921875</v>
      </c>
      <c r="D198">
        <v>1060.187744140625</v>
      </c>
      <c r="E198">
        <v>1320.341064453125</v>
      </c>
      <c r="F198">
        <v>2037.515014648438</v>
      </c>
    </row>
    <row r="199" spans="1:6" x14ac:dyDescent="0.25">
      <c r="A199" s="1">
        <v>45405</v>
      </c>
      <c r="B199">
        <v>1053.222778320312</v>
      </c>
      <c r="C199">
        <v>721.7894287109375</v>
      </c>
      <c r="D199">
        <v>1063.700073242188</v>
      </c>
      <c r="E199">
        <v>1329.23388671875</v>
      </c>
      <c r="F199">
        <v>2010.177978515625</v>
      </c>
    </row>
    <row r="200" spans="1:6" x14ac:dyDescent="0.25">
      <c r="A200" s="1">
        <v>45406</v>
      </c>
      <c r="B200">
        <v>1060.704833984375</v>
      </c>
      <c r="C200">
        <v>723.75238037109375</v>
      </c>
      <c r="D200">
        <v>1070.041748046875</v>
      </c>
      <c r="E200">
        <v>1318.497924804688</v>
      </c>
      <c r="F200">
        <v>2006.13330078125</v>
      </c>
    </row>
    <row r="201" spans="1:6" x14ac:dyDescent="0.25">
      <c r="A201" s="1">
        <v>45407</v>
      </c>
      <c r="B201">
        <v>1124.30224609375</v>
      </c>
      <c r="C201">
        <v>723.29754638671875</v>
      </c>
      <c r="D201">
        <v>1086.627807617188</v>
      </c>
      <c r="E201">
        <v>1325.59375</v>
      </c>
      <c r="F201">
        <v>2043.557495117188</v>
      </c>
    </row>
    <row r="202" spans="1:6" x14ac:dyDescent="0.25">
      <c r="A202" s="1">
        <v>45408</v>
      </c>
      <c r="B202">
        <v>1127.594360351562</v>
      </c>
      <c r="C202">
        <v>722.84271240234375</v>
      </c>
      <c r="D202">
        <v>1080.920288085938</v>
      </c>
      <c r="E202">
        <v>1318.037231445312</v>
      </c>
      <c r="F202">
        <v>1992.927734375</v>
      </c>
    </row>
    <row r="203" spans="1:6" x14ac:dyDescent="0.25">
      <c r="A203" s="1">
        <v>45411</v>
      </c>
      <c r="B203">
        <v>1156.474975585938</v>
      </c>
      <c r="C203">
        <v>732.2744140625</v>
      </c>
      <c r="D203">
        <v>1131.897827148438</v>
      </c>
      <c r="E203">
        <v>1322.184204101562</v>
      </c>
      <c r="F203">
        <v>2009.641845703125</v>
      </c>
    </row>
    <row r="204" spans="1:6" x14ac:dyDescent="0.25">
      <c r="A204" s="1">
        <v>45412</v>
      </c>
      <c r="B204">
        <v>1163.109130859375</v>
      </c>
      <c r="C204">
        <v>727.77398681640625</v>
      </c>
      <c r="D204">
        <v>1122.38525390625</v>
      </c>
      <c r="E204">
        <v>1309.09814453125</v>
      </c>
      <c r="F204">
        <v>2101.545166015625</v>
      </c>
    </row>
    <row r="205" spans="1:6" x14ac:dyDescent="0.25">
      <c r="A205" s="1">
        <v>45414</v>
      </c>
      <c r="B205">
        <v>1147.097534179688</v>
      </c>
      <c r="C205">
        <v>733.591064453125</v>
      </c>
      <c r="D205">
        <v>1111.701904296875</v>
      </c>
      <c r="E205">
        <v>1303.476684570312</v>
      </c>
      <c r="F205">
        <v>2129.613037109375</v>
      </c>
    </row>
    <row r="206" spans="1:6" x14ac:dyDescent="0.25">
      <c r="A206" s="1">
        <v>45415</v>
      </c>
      <c r="B206">
        <v>1138.767456054688</v>
      </c>
      <c r="C206">
        <v>727.53466796875</v>
      </c>
      <c r="D206">
        <v>1114.238647460938</v>
      </c>
      <c r="E206">
        <v>1305.181762695312</v>
      </c>
      <c r="F206">
        <v>2137.263671875</v>
      </c>
    </row>
    <row r="207" spans="1:6" x14ac:dyDescent="0.25">
      <c r="A207" s="1">
        <v>45418</v>
      </c>
      <c r="B207">
        <v>1140.912353515625</v>
      </c>
      <c r="C207">
        <v>728.994873046875</v>
      </c>
      <c r="D207">
        <v>1118.385131835938</v>
      </c>
      <c r="E207">
        <v>1314.028564453125</v>
      </c>
      <c r="F207">
        <v>2168.401611328125</v>
      </c>
    </row>
    <row r="208" spans="1:6" x14ac:dyDescent="0.25">
      <c r="A208" s="1">
        <v>45419</v>
      </c>
      <c r="B208">
        <v>1125.00048828125</v>
      </c>
      <c r="C208">
        <v>721.09515380859375</v>
      </c>
      <c r="D208">
        <v>1104.335815429688</v>
      </c>
      <c r="E208">
        <v>1327.897583007812</v>
      </c>
      <c r="F208">
        <v>2135.8017578125</v>
      </c>
    </row>
    <row r="209" spans="1:6" x14ac:dyDescent="0.25">
      <c r="A209" s="1">
        <v>45420</v>
      </c>
      <c r="B209">
        <v>1125.9482421875</v>
      </c>
      <c r="C209">
        <v>709.84417724609375</v>
      </c>
      <c r="D209">
        <v>1095.652465820312</v>
      </c>
      <c r="E209">
        <v>1315.318725585938</v>
      </c>
      <c r="F209">
        <v>2126.932861328125</v>
      </c>
    </row>
    <row r="210" spans="1:6" x14ac:dyDescent="0.25">
      <c r="A210" s="1">
        <v>45421</v>
      </c>
      <c r="B210">
        <v>1112.979370117188</v>
      </c>
      <c r="C210">
        <v>693.0155029296875</v>
      </c>
      <c r="D210">
        <v>1088.5302734375</v>
      </c>
      <c r="E210">
        <v>1326.607421875</v>
      </c>
      <c r="F210">
        <v>2156.31689453125</v>
      </c>
    </row>
    <row r="211" spans="1:6" x14ac:dyDescent="0.25">
      <c r="A211" s="1">
        <v>45422</v>
      </c>
      <c r="B211">
        <v>1117.418701171875</v>
      </c>
      <c r="C211">
        <v>697.82000732421875</v>
      </c>
      <c r="D211">
        <v>1089.847412109375</v>
      </c>
      <c r="E211">
        <v>1313.107055664062</v>
      </c>
      <c r="F211">
        <v>2137.312255859375</v>
      </c>
    </row>
    <row r="212" spans="1:6" x14ac:dyDescent="0.25">
      <c r="A212" s="1">
        <v>45425</v>
      </c>
      <c r="B212">
        <v>1129.290283203125</v>
      </c>
      <c r="C212">
        <v>706.24005126953125</v>
      </c>
      <c r="D212">
        <v>1100.53076171875</v>
      </c>
      <c r="E212">
        <v>1311.770629882812</v>
      </c>
      <c r="F212">
        <v>2128.736328125</v>
      </c>
    </row>
    <row r="213" spans="1:6" x14ac:dyDescent="0.25">
      <c r="A213" s="1">
        <v>45426</v>
      </c>
      <c r="B213">
        <v>1120.162109375</v>
      </c>
      <c r="C213">
        <v>709.00628662109375</v>
      </c>
      <c r="D213">
        <v>1093.26220703125</v>
      </c>
      <c r="E213">
        <v>1312.922607421875</v>
      </c>
      <c r="F213">
        <v>2212.209228515625</v>
      </c>
    </row>
    <row r="214" spans="1:6" x14ac:dyDescent="0.25">
      <c r="A214" s="1">
        <v>45427</v>
      </c>
      <c r="B214">
        <v>1125.349731445312</v>
      </c>
      <c r="C214">
        <v>698.1112060546875</v>
      </c>
      <c r="D214">
        <v>1096.969604492188</v>
      </c>
      <c r="E214">
        <v>1308.545166015625</v>
      </c>
      <c r="F214">
        <v>2243.7861328125</v>
      </c>
    </row>
    <row r="215" spans="1:6" x14ac:dyDescent="0.25">
      <c r="A215" s="1">
        <v>45428</v>
      </c>
      <c r="B215">
        <v>1136.572875976562</v>
      </c>
      <c r="C215">
        <v>708.66656494140625</v>
      </c>
      <c r="D215">
        <v>1103.506469726562</v>
      </c>
      <c r="E215">
        <v>1339.324829101562</v>
      </c>
      <c r="F215">
        <v>2311.470458984375</v>
      </c>
    </row>
    <row r="216" spans="1:6" x14ac:dyDescent="0.25">
      <c r="A216" s="1">
        <v>45429</v>
      </c>
      <c r="B216">
        <v>1138.617797851562</v>
      </c>
      <c r="C216">
        <v>710.53497314453125</v>
      </c>
      <c r="D216">
        <v>1102.969848632812</v>
      </c>
      <c r="E216">
        <v>1330.98486328125</v>
      </c>
      <c r="F216">
        <v>2450.690185546875</v>
      </c>
    </row>
    <row r="217" spans="1:6" x14ac:dyDescent="0.25">
      <c r="A217" s="1">
        <v>45433</v>
      </c>
      <c r="B217">
        <v>1134.9267578125</v>
      </c>
      <c r="C217">
        <v>707.962890625</v>
      </c>
      <c r="D217">
        <v>1093.65234375</v>
      </c>
      <c r="E217">
        <v>1321.631225585938</v>
      </c>
      <c r="F217">
        <v>2458.535400390625</v>
      </c>
    </row>
    <row r="218" spans="1:6" x14ac:dyDescent="0.25">
      <c r="A218" s="1">
        <v>45434</v>
      </c>
      <c r="B218">
        <v>1123.3046875</v>
      </c>
      <c r="C218">
        <v>708.156982421875</v>
      </c>
      <c r="D218">
        <v>1084.042236328125</v>
      </c>
      <c r="E218">
        <v>1340.661010742188</v>
      </c>
      <c r="F218">
        <v>2456.97607421875</v>
      </c>
    </row>
    <row r="219" spans="1:6" x14ac:dyDescent="0.25">
      <c r="A219" s="1">
        <v>45435</v>
      </c>
      <c r="B219">
        <v>1162.460693359375</v>
      </c>
      <c r="C219">
        <v>724.36614990234375</v>
      </c>
      <c r="D219">
        <v>1106.872436523438</v>
      </c>
      <c r="E219">
        <v>1356.880249023438</v>
      </c>
      <c r="F219">
        <v>2542.8857421875</v>
      </c>
    </row>
    <row r="220" spans="1:6" x14ac:dyDescent="0.25">
      <c r="A220" s="1">
        <v>45436</v>
      </c>
      <c r="B220">
        <v>1171.189697265625</v>
      </c>
      <c r="C220">
        <v>736.3046875</v>
      </c>
      <c r="D220">
        <v>1104.384399414062</v>
      </c>
      <c r="E220">
        <v>1350.153076171875</v>
      </c>
      <c r="F220">
        <v>2514.18408203125</v>
      </c>
    </row>
    <row r="221" spans="1:6" x14ac:dyDescent="0.25">
      <c r="A221" s="1">
        <v>45439</v>
      </c>
      <c r="B221">
        <v>1184.158569335938</v>
      </c>
      <c r="C221">
        <v>741.400390625</v>
      </c>
      <c r="D221">
        <v>1102.286987304688</v>
      </c>
      <c r="E221">
        <v>1355.912475585938</v>
      </c>
      <c r="F221">
        <v>2484.313232421875</v>
      </c>
    </row>
    <row r="222" spans="1:6" x14ac:dyDescent="0.25">
      <c r="A222" s="1">
        <v>45440</v>
      </c>
      <c r="B222">
        <v>1180.567260742188</v>
      </c>
      <c r="C222">
        <v>742.75927734375</v>
      </c>
      <c r="D222">
        <v>1099.506225585938</v>
      </c>
      <c r="E222">
        <v>1351.949951171875</v>
      </c>
      <c r="F222">
        <v>2487.91943359375</v>
      </c>
    </row>
    <row r="223" spans="1:6" x14ac:dyDescent="0.25">
      <c r="A223" s="1">
        <v>45441</v>
      </c>
      <c r="B223">
        <v>1156.973876953125</v>
      </c>
      <c r="C223">
        <v>731.9854736328125</v>
      </c>
      <c r="D223">
        <v>1075.163940429688</v>
      </c>
      <c r="E223">
        <v>1337.113037109375</v>
      </c>
      <c r="F223">
        <v>2469.255859375</v>
      </c>
    </row>
    <row r="224" spans="1:6" x14ac:dyDescent="0.25">
      <c r="A224" s="1">
        <v>45442</v>
      </c>
      <c r="B224">
        <v>1165.154174804688</v>
      </c>
      <c r="C224">
        <v>735.16424560546875</v>
      </c>
      <c r="D224">
        <v>1086.578979492188</v>
      </c>
      <c r="E224">
        <v>1315.456787109375</v>
      </c>
      <c r="F224">
        <v>2430.12646484375</v>
      </c>
    </row>
    <row r="225" spans="1:6" x14ac:dyDescent="0.25">
      <c r="A225" s="1">
        <v>45443</v>
      </c>
      <c r="B225">
        <v>1159.368041992188</v>
      </c>
      <c r="C225">
        <v>743.26885986328125</v>
      </c>
      <c r="D225">
        <v>1093.750122070312</v>
      </c>
      <c r="E225">
        <v>1322.459838867188</v>
      </c>
      <c r="F225">
        <v>2442.55224609375</v>
      </c>
    </row>
    <row r="226" spans="1:6" x14ac:dyDescent="0.25">
      <c r="A226" s="1">
        <v>45446</v>
      </c>
      <c r="B226">
        <v>1220.970336914062</v>
      </c>
      <c r="C226">
        <v>762.9964599609375</v>
      </c>
      <c r="D226">
        <v>1131.75146484375</v>
      </c>
      <c r="E226">
        <v>1321.519775390625</v>
      </c>
      <c r="F226">
        <v>2567.055419921875</v>
      </c>
    </row>
    <row r="227" spans="1:6" x14ac:dyDescent="0.25">
      <c r="A227" s="1">
        <v>45447</v>
      </c>
      <c r="B227">
        <v>1128.5419921875</v>
      </c>
      <c r="C227">
        <v>719.78009033203125</v>
      </c>
      <c r="D227">
        <v>1045.35791015625</v>
      </c>
      <c r="E227">
        <v>1310.005004882812</v>
      </c>
      <c r="F227">
        <v>2507.50830078125</v>
      </c>
    </row>
    <row r="228" spans="1:6" x14ac:dyDescent="0.25">
      <c r="A228" s="1">
        <v>45448</v>
      </c>
      <c r="B228">
        <v>1181.66455078125</v>
      </c>
      <c r="C228">
        <v>753.0963134765625</v>
      </c>
      <c r="D228">
        <v>1081.651977539062</v>
      </c>
      <c r="E228">
        <v>1344.267333984375</v>
      </c>
      <c r="F228">
        <v>2671.287353515625</v>
      </c>
    </row>
    <row r="229" spans="1:6" x14ac:dyDescent="0.25">
      <c r="A229" s="1">
        <v>45449</v>
      </c>
      <c r="B229">
        <v>1168.14697265625</v>
      </c>
      <c r="C229">
        <v>756.93011474609375</v>
      </c>
      <c r="D229">
        <v>1083.359252929688</v>
      </c>
      <c r="E229">
        <v>1383.887451171875</v>
      </c>
      <c r="F229">
        <v>2631.23193359375</v>
      </c>
    </row>
    <row r="230" spans="1:6" x14ac:dyDescent="0.25">
      <c r="A230" s="1">
        <v>45450</v>
      </c>
      <c r="B230">
        <v>1183.959106445312</v>
      </c>
      <c r="C230">
        <v>763.55450439453125</v>
      </c>
      <c r="D230">
        <v>1094.384155273438</v>
      </c>
      <c r="E230">
        <v>1441.555297851562</v>
      </c>
      <c r="F230">
        <v>2784.826416015625</v>
      </c>
    </row>
    <row r="231" spans="1:6" x14ac:dyDescent="0.25">
      <c r="A231" s="1">
        <v>45453</v>
      </c>
      <c r="B231">
        <v>1197.12744140625</v>
      </c>
      <c r="C231">
        <v>757.70672607421875</v>
      </c>
      <c r="D231">
        <v>1096.432983398438</v>
      </c>
      <c r="E231">
        <v>1409.736938476562</v>
      </c>
      <c r="F231">
        <v>2736.19482421875</v>
      </c>
    </row>
    <row r="232" spans="1:6" x14ac:dyDescent="0.25">
      <c r="A232" s="1">
        <v>45454</v>
      </c>
      <c r="B232">
        <v>1191.740478515625</v>
      </c>
      <c r="C232">
        <v>759.40521240234375</v>
      </c>
      <c r="D232">
        <v>1090.969360351562</v>
      </c>
      <c r="E232">
        <v>1405.97705078125</v>
      </c>
      <c r="F232">
        <v>2763.483154296875</v>
      </c>
    </row>
    <row r="233" spans="1:6" x14ac:dyDescent="0.25">
      <c r="A233" s="1">
        <v>45455</v>
      </c>
      <c r="B233">
        <v>1185.056396484375</v>
      </c>
      <c r="C233">
        <v>763.94281005859375</v>
      </c>
      <c r="D233">
        <v>1092.28662109375</v>
      </c>
      <c r="E233">
        <v>1396.060424804688</v>
      </c>
      <c r="F233">
        <v>2716.702880859375</v>
      </c>
    </row>
    <row r="234" spans="1:6" x14ac:dyDescent="0.25">
      <c r="A234" s="1">
        <v>45456</v>
      </c>
      <c r="B234">
        <v>1171.838134765625</v>
      </c>
      <c r="C234">
        <v>767.14581298828125</v>
      </c>
      <c r="D234">
        <v>1080.383666992188</v>
      </c>
      <c r="E234">
        <v>1404.28515625</v>
      </c>
      <c r="F234">
        <v>2788.968505859375</v>
      </c>
    </row>
    <row r="235" spans="1:6" x14ac:dyDescent="0.25">
      <c r="A235" s="1">
        <v>45457</v>
      </c>
      <c r="B235">
        <v>1178.222900390625</v>
      </c>
      <c r="C235">
        <v>774.9835205078125</v>
      </c>
      <c r="D235">
        <v>1078.724975585938</v>
      </c>
      <c r="E235">
        <v>1399.5380859375</v>
      </c>
      <c r="F235">
        <v>2854.16796875</v>
      </c>
    </row>
    <row r="236" spans="1:6" x14ac:dyDescent="0.25">
      <c r="A236" s="1">
        <v>45461</v>
      </c>
      <c r="B236">
        <v>1189.046875</v>
      </c>
      <c r="C236">
        <v>780.27337646484375</v>
      </c>
      <c r="D236">
        <v>1095.506103515625</v>
      </c>
      <c r="E236">
        <v>1408.280029296875</v>
      </c>
      <c r="F236">
        <v>2886.621337890625</v>
      </c>
    </row>
    <row r="237" spans="1:6" x14ac:dyDescent="0.25">
      <c r="A237" s="1">
        <v>45462</v>
      </c>
      <c r="B237">
        <v>1223.713745117188</v>
      </c>
      <c r="C237">
        <v>804.56280517578125</v>
      </c>
      <c r="D237">
        <v>1116.580078125</v>
      </c>
      <c r="E237">
        <v>1420.640625</v>
      </c>
      <c r="F237">
        <v>2859.28466796875</v>
      </c>
    </row>
    <row r="238" spans="1:6" x14ac:dyDescent="0.25">
      <c r="A238" s="1">
        <v>45463</v>
      </c>
      <c r="B238">
        <v>1236.532958984375</v>
      </c>
      <c r="C238">
        <v>810.14385986328125</v>
      </c>
      <c r="D238">
        <v>1128.629516601562</v>
      </c>
      <c r="E238">
        <v>1424.447631835938</v>
      </c>
      <c r="F238">
        <v>2798.226806640625</v>
      </c>
    </row>
    <row r="239" spans="1:6" x14ac:dyDescent="0.25">
      <c r="A239" s="1">
        <v>45464</v>
      </c>
      <c r="B239">
        <v>1234.48779296875</v>
      </c>
      <c r="C239">
        <v>808.39678955078125</v>
      </c>
      <c r="D239">
        <v>1130.434448242188</v>
      </c>
      <c r="E239">
        <v>1440.709350585938</v>
      </c>
      <c r="F239">
        <v>2767.770751953125</v>
      </c>
    </row>
    <row r="240" spans="1:6" x14ac:dyDescent="0.25">
      <c r="A240" s="1">
        <v>45467</v>
      </c>
      <c r="B240">
        <v>1225.160278320312</v>
      </c>
      <c r="C240">
        <v>811.6240234375</v>
      </c>
      <c r="D240">
        <v>1141.605590820312</v>
      </c>
      <c r="E240">
        <v>1435.492431640625</v>
      </c>
      <c r="F240">
        <v>2841.693603515625</v>
      </c>
    </row>
    <row r="241" spans="1:6" x14ac:dyDescent="0.25">
      <c r="A241" s="1">
        <v>45468</v>
      </c>
      <c r="B241">
        <v>1268.406372070312</v>
      </c>
      <c r="C241">
        <v>830.52667236328125</v>
      </c>
      <c r="D241">
        <v>1168.77734375</v>
      </c>
      <c r="E241">
        <v>1449.404174804688</v>
      </c>
      <c r="F241">
        <v>2835.455810546875</v>
      </c>
    </row>
    <row r="242" spans="1:6" x14ac:dyDescent="0.25">
      <c r="A242" s="1">
        <v>45469</v>
      </c>
      <c r="B242">
        <v>1282.322998046875</v>
      </c>
      <c r="C242">
        <v>825.7464599609375</v>
      </c>
      <c r="D242">
        <v>1188.339111328125</v>
      </c>
      <c r="E242">
        <v>1448.229248046875</v>
      </c>
      <c r="F242">
        <v>2779.027587890625</v>
      </c>
    </row>
    <row r="243" spans="1:6" x14ac:dyDescent="0.25">
      <c r="A243" s="1">
        <v>45470</v>
      </c>
      <c r="B243">
        <v>1285.864501953125</v>
      </c>
      <c r="C243">
        <v>823.1500244140625</v>
      </c>
      <c r="D243">
        <v>1190.19287109375</v>
      </c>
      <c r="E243">
        <v>1478.919677734375</v>
      </c>
      <c r="F243">
        <v>2815.52587890625</v>
      </c>
    </row>
    <row r="244" spans="1:6" x14ac:dyDescent="0.25">
      <c r="A244" s="1">
        <v>45471</v>
      </c>
      <c r="B244">
        <v>1262.22119140625</v>
      </c>
      <c r="C244">
        <v>817.15655517578125</v>
      </c>
      <c r="D244">
        <v>1170.387084960938</v>
      </c>
      <c r="E244">
        <v>1472.7158203125</v>
      </c>
      <c r="F244">
        <v>2793.79248046875</v>
      </c>
    </row>
    <row r="245" spans="1:6" x14ac:dyDescent="0.25">
      <c r="A245" s="1">
        <v>45474</v>
      </c>
      <c r="B245">
        <v>1258.879272460938</v>
      </c>
      <c r="C245">
        <v>827.5419921875</v>
      </c>
      <c r="D245">
        <v>1182.338745117188</v>
      </c>
      <c r="E245">
        <v>1495.322265625</v>
      </c>
      <c r="F245">
        <v>2802.7587890625</v>
      </c>
    </row>
    <row r="246" spans="1:6" x14ac:dyDescent="0.25">
      <c r="A246" s="1">
        <v>45475</v>
      </c>
      <c r="B246">
        <v>1250.399658203125</v>
      </c>
      <c r="C246">
        <v>839.8687744140625</v>
      </c>
      <c r="D246">
        <v>1161.606323242188</v>
      </c>
      <c r="E246">
        <v>1523.7568359375</v>
      </c>
      <c r="F246">
        <v>2792.33056640625</v>
      </c>
    </row>
    <row r="247" spans="1:6" x14ac:dyDescent="0.25">
      <c r="A247" s="1">
        <v>45476</v>
      </c>
      <c r="B247">
        <v>1276.935913085938</v>
      </c>
      <c r="C247">
        <v>858.33465576171875</v>
      </c>
      <c r="D247">
        <v>1172.33837890625</v>
      </c>
      <c r="E247">
        <v>1529.725708007812</v>
      </c>
      <c r="F247">
        <v>2804.805419921875</v>
      </c>
    </row>
    <row r="248" spans="1:6" x14ac:dyDescent="0.25">
      <c r="A248" s="1">
        <v>45477</v>
      </c>
      <c r="B248">
        <v>1277.833862304688</v>
      </c>
      <c r="C248">
        <v>838.19451904296875</v>
      </c>
      <c r="D248">
        <v>1202.973754882812</v>
      </c>
      <c r="E248">
        <v>1551.580200195312</v>
      </c>
      <c r="F248">
        <v>2829.02392578125</v>
      </c>
    </row>
    <row r="249" spans="1:6" x14ac:dyDescent="0.25">
      <c r="A249" s="1">
        <v>45478</v>
      </c>
      <c r="B249">
        <v>1283.969116210938</v>
      </c>
      <c r="C249">
        <v>799.8310546875</v>
      </c>
      <c r="D249">
        <v>1203.364013671875</v>
      </c>
      <c r="E249">
        <v>1548.572265625</v>
      </c>
      <c r="F249">
        <v>2827.94384765625</v>
      </c>
    </row>
    <row r="250" spans="1:6" x14ac:dyDescent="0.25">
      <c r="A250" s="1">
        <v>45481</v>
      </c>
      <c r="B250">
        <v>1284.76708984375</v>
      </c>
      <c r="C250">
        <v>793.6434326171875</v>
      </c>
      <c r="D250">
        <v>1204.973876953125</v>
      </c>
      <c r="E250">
        <v>1561.920166015625</v>
      </c>
      <c r="F250">
        <v>2799.228515625</v>
      </c>
    </row>
    <row r="251" spans="1:6" x14ac:dyDescent="0.25">
      <c r="A251" s="1">
        <v>45482</v>
      </c>
      <c r="B251">
        <v>1286.3134765625</v>
      </c>
      <c r="C251">
        <v>794.20159912109375</v>
      </c>
      <c r="D251">
        <v>1217.852416992188</v>
      </c>
      <c r="E251">
        <v>1557.690063476562</v>
      </c>
      <c r="F251">
        <v>2872.023193359375</v>
      </c>
    </row>
    <row r="252" spans="1:6" x14ac:dyDescent="0.25">
      <c r="A252" s="1">
        <v>45483</v>
      </c>
      <c r="B252">
        <v>1288.55810546875</v>
      </c>
      <c r="C252">
        <v>789.15447998046875</v>
      </c>
      <c r="D252">
        <v>1212.925415039062</v>
      </c>
      <c r="E252">
        <v>1549.32421875</v>
      </c>
      <c r="F252">
        <v>2682.060302734375</v>
      </c>
    </row>
    <row r="253" spans="1:6" x14ac:dyDescent="0.25">
      <c r="A253" s="1">
        <v>45484</v>
      </c>
      <c r="B253">
        <v>1293.645874023438</v>
      </c>
      <c r="C253">
        <v>787.11614990234375</v>
      </c>
      <c r="D253">
        <v>1208.291015625</v>
      </c>
      <c r="E253">
        <v>1553.507080078125</v>
      </c>
      <c r="F253">
        <v>2648.73095703125</v>
      </c>
    </row>
    <row r="254" spans="1:6" x14ac:dyDescent="0.25">
      <c r="A254" s="1">
        <v>45485</v>
      </c>
      <c r="B254">
        <v>1315.160888671875</v>
      </c>
      <c r="C254">
        <v>787.50439453125</v>
      </c>
      <c r="D254">
        <v>1202.876220703125</v>
      </c>
      <c r="E254">
        <v>1609.012939453125</v>
      </c>
      <c r="F254">
        <v>2654.52294921875</v>
      </c>
    </row>
    <row r="255" spans="1:6" x14ac:dyDescent="0.25">
      <c r="A255" s="1">
        <v>45488</v>
      </c>
      <c r="B255">
        <v>1305.326782226562</v>
      </c>
      <c r="C255">
        <v>787.21319580078125</v>
      </c>
      <c r="D255">
        <v>1199.998046875</v>
      </c>
      <c r="E255">
        <v>1604.59521484375</v>
      </c>
      <c r="F255">
        <v>2681.127685546875</v>
      </c>
    </row>
    <row r="256" spans="1:6" x14ac:dyDescent="0.25">
      <c r="A256" s="1">
        <v>45489</v>
      </c>
      <c r="B256">
        <v>1301.882446289062</v>
      </c>
      <c r="C256">
        <v>786.07269287109375</v>
      </c>
      <c r="D256">
        <v>1209.705688476562</v>
      </c>
      <c r="E256">
        <v>1622.454833984375</v>
      </c>
      <c r="F256">
        <v>2706.357666015625</v>
      </c>
    </row>
    <row r="257" spans="1:6" x14ac:dyDescent="0.25">
      <c r="A257" s="1">
        <v>45491</v>
      </c>
      <c r="B257">
        <v>1307.273803710938</v>
      </c>
      <c r="C257">
        <v>783.6705322265625</v>
      </c>
      <c r="D257">
        <v>1219.8525390625</v>
      </c>
      <c r="E257">
        <v>1652.534057617188</v>
      </c>
      <c r="F257">
        <v>2767.91162109375</v>
      </c>
    </row>
    <row r="258" spans="1:6" x14ac:dyDescent="0.25">
      <c r="A258" s="1">
        <v>45492</v>
      </c>
      <c r="B258">
        <v>1290.251342773438</v>
      </c>
      <c r="C258">
        <v>780.03070068359375</v>
      </c>
      <c r="D258">
        <v>1218.242797851562</v>
      </c>
      <c r="E258">
        <v>1685.339477539062</v>
      </c>
      <c r="F258">
        <v>2699.0439453125</v>
      </c>
    </row>
    <row r="259" spans="1:6" x14ac:dyDescent="0.25">
      <c r="A259" s="1">
        <v>45495</v>
      </c>
      <c r="B259">
        <v>1280.41748046875</v>
      </c>
      <c r="C259">
        <v>797.1376953125</v>
      </c>
      <c r="D259">
        <v>1210.92529296875</v>
      </c>
      <c r="E259">
        <v>1702.165161132812</v>
      </c>
      <c r="F259">
        <v>2753.48046875</v>
      </c>
    </row>
    <row r="260" spans="1:6" x14ac:dyDescent="0.25">
      <c r="A260" s="1">
        <v>45496</v>
      </c>
      <c r="B260">
        <v>1261.198608398438</v>
      </c>
      <c r="C260">
        <v>785.4176025390625</v>
      </c>
      <c r="D260">
        <v>1196.8759765625</v>
      </c>
      <c r="E260">
        <v>1726.651733398438</v>
      </c>
      <c r="F260">
        <v>2769.77685546875</v>
      </c>
    </row>
    <row r="261" spans="1:6" x14ac:dyDescent="0.25">
      <c r="A261" s="1">
        <v>45497</v>
      </c>
      <c r="B261">
        <v>1237.237670898438</v>
      </c>
      <c r="C261">
        <v>778.4534912109375</v>
      </c>
      <c r="D261">
        <v>1193.21728515625</v>
      </c>
      <c r="E261">
        <v>1723.878662109375</v>
      </c>
      <c r="F261">
        <v>2754.216796875</v>
      </c>
    </row>
    <row r="262" spans="1:6" x14ac:dyDescent="0.25">
      <c r="A262" s="1">
        <v>45498</v>
      </c>
      <c r="B262">
        <v>1173.990600585938</v>
      </c>
      <c r="C262">
        <v>784.54400634765625</v>
      </c>
      <c r="D262">
        <v>1168.728515625</v>
      </c>
      <c r="E262">
        <v>1715.324951171875</v>
      </c>
      <c r="F262">
        <v>2760.0087890625</v>
      </c>
    </row>
    <row r="263" spans="1:6" x14ac:dyDescent="0.25">
      <c r="A263" s="1">
        <v>45499</v>
      </c>
      <c r="B263">
        <v>1175.438110351562</v>
      </c>
      <c r="C263">
        <v>785.2962646484375</v>
      </c>
      <c r="D263">
        <v>1177.802001953125</v>
      </c>
      <c r="E263">
        <v>1766.130981445312</v>
      </c>
      <c r="F263">
        <v>2835.012451171875</v>
      </c>
    </row>
    <row r="264" spans="1:6" x14ac:dyDescent="0.25">
      <c r="A264" s="1">
        <v>45502</v>
      </c>
      <c r="B264">
        <v>1168.150024414062</v>
      </c>
      <c r="C264">
        <v>778.938720703125</v>
      </c>
      <c r="D264">
        <v>1183.16796875</v>
      </c>
      <c r="E264">
        <v>1758.799194335938</v>
      </c>
      <c r="F264">
        <v>2879.385986328125</v>
      </c>
    </row>
    <row r="265" spans="1:6" x14ac:dyDescent="0.25">
      <c r="A265" s="1">
        <v>45503</v>
      </c>
      <c r="B265">
        <v>1168.10009765625</v>
      </c>
      <c r="C265">
        <v>784.03448486328125</v>
      </c>
      <c r="D265">
        <v>1179.997192382812</v>
      </c>
      <c r="E265">
        <v>1764.485961914062</v>
      </c>
      <c r="F265">
        <v>2868.685546875</v>
      </c>
    </row>
    <row r="266" spans="1:6" x14ac:dyDescent="0.25">
      <c r="A266" s="1">
        <v>45504</v>
      </c>
      <c r="B266">
        <v>1164.206298828125</v>
      </c>
      <c r="C266">
        <v>784.1314697265625</v>
      </c>
      <c r="D266">
        <v>1185.314697265625</v>
      </c>
      <c r="E266">
        <v>1756.1201171875</v>
      </c>
      <c r="F266">
        <v>2854.646728515625</v>
      </c>
    </row>
    <row r="267" spans="1:6" x14ac:dyDescent="0.25">
      <c r="A267" s="1">
        <v>45505</v>
      </c>
      <c r="B267">
        <v>1170.396362304688</v>
      </c>
      <c r="C267">
        <v>795.31781005859375</v>
      </c>
      <c r="D267">
        <v>1180.63134765625</v>
      </c>
      <c r="E267">
        <v>1741.409545898438</v>
      </c>
      <c r="F267">
        <v>2776.697998046875</v>
      </c>
    </row>
    <row r="268" spans="1:6" x14ac:dyDescent="0.25">
      <c r="A268" s="1">
        <v>45506</v>
      </c>
      <c r="B268">
        <v>1158.964965820312</v>
      </c>
      <c r="C268">
        <v>805.1937255859375</v>
      </c>
      <c r="D268">
        <v>1167.411499023438</v>
      </c>
      <c r="E268">
        <v>1711.893920898438</v>
      </c>
      <c r="F268">
        <v>2699.387451171875</v>
      </c>
    </row>
    <row r="269" spans="1:6" x14ac:dyDescent="0.25">
      <c r="A269" s="1">
        <v>45509</v>
      </c>
      <c r="B269">
        <v>1131.659301757812</v>
      </c>
      <c r="C269">
        <v>784.1314697265625</v>
      </c>
      <c r="D269">
        <v>1144.044555664062</v>
      </c>
      <c r="E269">
        <v>1646.753295898438</v>
      </c>
      <c r="F269">
        <v>2629.97998046875</v>
      </c>
    </row>
    <row r="270" spans="1:6" x14ac:dyDescent="0.25">
      <c r="A270" s="1">
        <v>45510</v>
      </c>
      <c r="B270">
        <v>1124.271362304688</v>
      </c>
      <c r="C270">
        <v>777.07025146484375</v>
      </c>
      <c r="D270">
        <v>1138.434692382812</v>
      </c>
      <c r="E270">
        <v>1646.001342773438</v>
      </c>
      <c r="F270">
        <v>2584.82080078125</v>
      </c>
    </row>
    <row r="271" spans="1:6" x14ac:dyDescent="0.25">
      <c r="A271" s="1">
        <v>45511</v>
      </c>
      <c r="B271">
        <v>1134.953979492188</v>
      </c>
      <c r="C271">
        <v>787.89263916015625</v>
      </c>
      <c r="D271">
        <v>1143.898315429688</v>
      </c>
      <c r="E271">
        <v>1684.117553710938</v>
      </c>
      <c r="F271">
        <v>2631.84521484375</v>
      </c>
    </row>
    <row r="272" spans="1:6" x14ac:dyDescent="0.25">
      <c r="A272" s="1">
        <v>45512</v>
      </c>
      <c r="B272">
        <v>1136.301879882812</v>
      </c>
      <c r="C272">
        <v>797.21044921875</v>
      </c>
      <c r="D272">
        <v>1136.239501953125</v>
      </c>
      <c r="E272">
        <v>1638.528564453125</v>
      </c>
      <c r="F272">
        <v>2633.90673828125</v>
      </c>
    </row>
    <row r="273" spans="1:6" x14ac:dyDescent="0.25">
      <c r="A273" s="1">
        <v>45513</v>
      </c>
      <c r="B273">
        <v>1140.894287109375</v>
      </c>
      <c r="C273">
        <v>800.8502197265625</v>
      </c>
      <c r="D273">
        <v>1143.068969726562</v>
      </c>
      <c r="E273">
        <v>1664.472045898438</v>
      </c>
      <c r="F273">
        <v>2698.896728515625</v>
      </c>
    </row>
    <row r="274" spans="1:6" x14ac:dyDescent="0.25">
      <c r="A274" s="1">
        <v>45516</v>
      </c>
      <c r="B274">
        <v>1162.409423828125</v>
      </c>
      <c r="C274">
        <v>805.65478515625</v>
      </c>
      <c r="D274">
        <v>1154.09033203125</v>
      </c>
      <c r="E274">
        <v>1689.522583007812</v>
      </c>
      <c r="F274">
        <v>2667.972412109375</v>
      </c>
    </row>
    <row r="275" spans="1:6" x14ac:dyDescent="0.25">
      <c r="A275" s="1">
        <v>45517</v>
      </c>
      <c r="B275">
        <v>1157.716918945312</v>
      </c>
      <c r="C275">
        <v>778.04095458984375</v>
      </c>
      <c r="D275">
        <v>1149.711303710938</v>
      </c>
      <c r="E275">
        <v>1689.5693359375</v>
      </c>
      <c r="F275">
        <v>2668.365234375</v>
      </c>
    </row>
    <row r="276" spans="1:6" x14ac:dyDescent="0.25">
      <c r="A276" s="1">
        <v>45518</v>
      </c>
      <c r="B276">
        <v>1151.227416992188</v>
      </c>
      <c r="C276">
        <v>780.27337646484375</v>
      </c>
      <c r="D276">
        <v>1143.1181640625</v>
      </c>
      <c r="E276">
        <v>1713.820922851562</v>
      </c>
      <c r="F276">
        <v>2695.068115234375</v>
      </c>
    </row>
    <row r="277" spans="1:6" x14ac:dyDescent="0.25">
      <c r="A277" s="1">
        <v>45520</v>
      </c>
      <c r="B277">
        <v>1164.955200195312</v>
      </c>
      <c r="C277">
        <v>792.06622314453125</v>
      </c>
      <c r="D277">
        <v>1168.309692382812</v>
      </c>
      <c r="E277">
        <v>1747.378173828125</v>
      </c>
      <c r="F277">
        <v>2788.527587890625</v>
      </c>
    </row>
    <row r="278" spans="1:6" x14ac:dyDescent="0.25">
      <c r="A278" s="1">
        <v>45523</v>
      </c>
      <c r="B278">
        <v>1151.377319335938</v>
      </c>
      <c r="C278">
        <v>791.79937744140625</v>
      </c>
      <c r="D278">
        <v>1157.140869140625</v>
      </c>
      <c r="E278">
        <v>1752.877319335938</v>
      </c>
      <c r="F278">
        <v>2714.60400390625</v>
      </c>
    </row>
    <row r="279" spans="1:6" x14ac:dyDescent="0.25">
      <c r="A279" s="1">
        <v>45524</v>
      </c>
      <c r="B279">
        <v>1166.103271484375</v>
      </c>
      <c r="C279">
        <v>794.783935546875</v>
      </c>
      <c r="D279">
        <v>1160.634155273438</v>
      </c>
      <c r="E279">
        <v>1759.833129882812</v>
      </c>
      <c r="F279">
        <v>2720.641845703125</v>
      </c>
    </row>
    <row r="280" spans="1:6" x14ac:dyDescent="0.25">
      <c r="A280" s="1">
        <v>45525</v>
      </c>
      <c r="B280">
        <v>1172.492919921875</v>
      </c>
      <c r="C280">
        <v>789.00885009765625</v>
      </c>
      <c r="D280">
        <v>1156.107543945312</v>
      </c>
      <c r="E280">
        <v>1760.302978515625</v>
      </c>
      <c r="F280">
        <v>2718.776611328125</v>
      </c>
    </row>
    <row r="281" spans="1:6" x14ac:dyDescent="0.25">
      <c r="A281" s="1">
        <v>45526</v>
      </c>
      <c r="B281">
        <v>1168.050048828125</v>
      </c>
      <c r="C281">
        <v>791.6781005859375</v>
      </c>
      <c r="D281">
        <v>1172.098388671875</v>
      </c>
      <c r="E281">
        <v>1767.399780273438</v>
      </c>
      <c r="F281">
        <v>2682.99267578125</v>
      </c>
    </row>
    <row r="282" spans="1:6" x14ac:dyDescent="0.25">
      <c r="A282" s="1">
        <v>45527</v>
      </c>
      <c r="B282">
        <v>1164.056518554688</v>
      </c>
      <c r="C282">
        <v>788.6448974609375</v>
      </c>
      <c r="D282">
        <v>1184.300537109375</v>
      </c>
      <c r="E282">
        <v>1750.339233398438</v>
      </c>
      <c r="F282">
        <v>2708.566650390625</v>
      </c>
    </row>
    <row r="283" spans="1:6" x14ac:dyDescent="0.25">
      <c r="A283" s="1">
        <v>45530</v>
      </c>
      <c r="B283">
        <v>1168.399658203125</v>
      </c>
      <c r="C283">
        <v>795.8758544921875</v>
      </c>
      <c r="D283">
        <v>1193.944213867188</v>
      </c>
      <c r="E283">
        <v>1763.546020507812</v>
      </c>
      <c r="F283">
        <v>2742.04345703125</v>
      </c>
    </row>
    <row r="284" spans="1:6" x14ac:dyDescent="0.25">
      <c r="A284" s="1">
        <v>45531</v>
      </c>
      <c r="B284">
        <v>1179.331787109375</v>
      </c>
      <c r="C284">
        <v>794.8082275390625</v>
      </c>
      <c r="D284">
        <v>1206.786010742188</v>
      </c>
      <c r="E284">
        <v>1786.058471679688</v>
      </c>
      <c r="F284">
        <v>2729.968017578125</v>
      </c>
    </row>
    <row r="285" spans="1:6" x14ac:dyDescent="0.25">
      <c r="A285" s="1">
        <v>45532</v>
      </c>
      <c r="B285">
        <v>1169.048461914062</v>
      </c>
      <c r="C285">
        <v>794.49273681640625</v>
      </c>
      <c r="D285">
        <v>1204.325927734375</v>
      </c>
      <c r="E285">
        <v>1822.7177734375</v>
      </c>
      <c r="F285">
        <v>2746.853759765625</v>
      </c>
    </row>
    <row r="286" spans="1:6" x14ac:dyDescent="0.25">
      <c r="A286" s="1">
        <v>45533</v>
      </c>
      <c r="B286">
        <v>1173.491333007812</v>
      </c>
      <c r="C286">
        <v>795.19647216796875</v>
      </c>
      <c r="D286">
        <v>1202.407104492188</v>
      </c>
      <c r="E286">
        <v>1817.312866210938</v>
      </c>
      <c r="F286">
        <v>2707.1923828125</v>
      </c>
    </row>
    <row r="287" spans="1:6" x14ac:dyDescent="0.25">
      <c r="A287" s="1">
        <v>45534</v>
      </c>
      <c r="B287">
        <v>1173.341552734375</v>
      </c>
      <c r="C287">
        <v>794.395751953125</v>
      </c>
      <c r="D287">
        <v>1209.590454101562</v>
      </c>
      <c r="E287">
        <v>1827.041748046875</v>
      </c>
      <c r="F287">
        <v>2754.118408203125</v>
      </c>
    </row>
    <row r="288" spans="1:6" x14ac:dyDescent="0.25">
      <c r="A288" s="1">
        <v>45537</v>
      </c>
      <c r="B288">
        <v>1186.86962890625</v>
      </c>
      <c r="C288">
        <v>789.56689453125</v>
      </c>
      <c r="D288">
        <v>1210.328491210938</v>
      </c>
      <c r="E288">
        <v>1846.593505859375</v>
      </c>
      <c r="F288">
        <v>2726.237548828125</v>
      </c>
    </row>
    <row r="289" spans="1:6" x14ac:dyDescent="0.25">
      <c r="A289" s="1">
        <v>45538</v>
      </c>
      <c r="B289">
        <v>1189.664916992188</v>
      </c>
      <c r="C289">
        <v>794.61407470703125</v>
      </c>
      <c r="D289">
        <v>1227.79541015625</v>
      </c>
      <c r="E289">
        <v>1824.73876953125</v>
      </c>
      <c r="F289">
        <v>2733.9443359375</v>
      </c>
    </row>
    <row r="290" spans="1:6" x14ac:dyDescent="0.25">
      <c r="A290" s="1">
        <v>45539</v>
      </c>
      <c r="B290">
        <v>1175.787475585938</v>
      </c>
      <c r="C290">
        <v>796.77374267578125</v>
      </c>
      <c r="D290">
        <v>1216.62646484375</v>
      </c>
      <c r="E290">
        <v>1807.067016601562</v>
      </c>
      <c r="F290">
        <v>2699.33837890625</v>
      </c>
    </row>
    <row r="291" spans="1:6" x14ac:dyDescent="0.25">
      <c r="A291" s="1">
        <v>45540</v>
      </c>
      <c r="B291">
        <v>1178.632934570312</v>
      </c>
      <c r="C291">
        <v>798.54510498046875</v>
      </c>
      <c r="D291">
        <v>1216.23291015625</v>
      </c>
      <c r="E291">
        <v>1817.124877929688</v>
      </c>
      <c r="F291">
        <v>2673.322998046875</v>
      </c>
    </row>
    <row r="292" spans="1:6" x14ac:dyDescent="0.25">
      <c r="A292" s="1">
        <v>45541</v>
      </c>
      <c r="B292">
        <v>1156.868408203125</v>
      </c>
      <c r="C292">
        <v>794.419921875</v>
      </c>
      <c r="D292">
        <v>1188.876342773438</v>
      </c>
      <c r="E292">
        <v>1787.703369140625</v>
      </c>
      <c r="F292">
        <v>2648.780029296875</v>
      </c>
    </row>
    <row r="293" spans="1:6" x14ac:dyDescent="0.25">
      <c r="A293" s="1">
        <v>45544</v>
      </c>
      <c r="B293">
        <v>1168.948608398438</v>
      </c>
      <c r="C293">
        <v>799.0546875</v>
      </c>
      <c r="D293">
        <v>1215.297973632812</v>
      </c>
      <c r="E293">
        <v>1780.935668945312</v>
      </c>
      <c r="F293">
        <v>2659.33349609375</v>
      </c>
    </row>
    <row r="294" spans="1:6" x14ac:dyDescent="0.25">
      <c r="A294" s="1">
        <v>45545</v>
      </c>
      <c r="B294">
        <v>1185.272094726562</v>
      </c>
      <c r="C294">
        <v>800.92303466796875</v>
      </c>
      <c r="D294">
        <v>1217.561401367188</v>
      </c>
      <c r="E294">
        <v>1797.526489257812</v>
      </c>
      <c r="F294">
        <v>2640.827880859375</v>
      </c>
    </row>
    <row r="295" spans="1:6" x14ac:dyDescent="0.25">
      <c r="A295" s="1">
        <v>45546</v>
      </c>
      <c r="B295">
        <v>1184.173828125</v>
      </c>
      <c r="C295">
        <v>797.7928466796875</v>
      </c>
      <c r="D295">
        <v>1216.62646484375</v>
      </c>
      <c r="E295">
        <v>1795.505249023438</v>
      </c>
      <c r="F295">
        <v>2605.7314453125</v>
      </c>
    </row>
    <row r="296" spans="1:6" x14ac:dyDescent="0.25">
      <c r="A296" s="1">
        <v>45547</v>
      </c>
      <c r="B296">
        <v>1201.395874023438</v>
      </c>
      <c r="C296">
        <v>808.80926513671875</v>
      </c>
      <c r="D296">
        <v>1232.174560546875</v>
      </c>
      <c r="E296">
        <v>1833.386596679688</v>
      </c>
      <c r="F296">
        <v>2690.79736328125</v>
      </c>
    </row>
    <row r="297" spans="1:6" x14ac:dyDescent="0.25">
      <c r="A297" s="1">
        <v>45548</v>
      </c>
      <c r="B297">
        <v>1215.472900390625</v>
      </c>
      <c r="C297">
        <v>808.4937744140625</v>
      </c>
      <c r="D297">
        <v>1230.403076171875</v>
      </c>
      <c r="E297">
        <v>1827.417846679688</v>
      </c>
      <c r="F297">
        <v>2689.030517578125</v>
      </c>
    </row>
    <row r="298" spans="1:6" x14ac:dyDescent="0.25">
      <c r="A298" s="1">
        <v>45551</v>
      </c>
      <c r="B298">
        <v>1229.050903320312</v>
      </c>
      <c r="C298">
        <v>810.92034912109375</v>
      </c>
      <c r="D298">
        <v>1242.703735351562</v>
      </c>
      <c r="E298">
        <v>1833.198608398438</v>
      </c>
      <c r="F298">
        <v>2706.99560546875</v>
      </c>
    </row>
    <row r="299" spans="1:6" x14ac:dyDescent="0.25">
      <c r="A299" s="1">
        <v>45552</v>
      </c>
      <c r="B299">
        <v>1230.099243164062</v>
      </c>
      <c r="C299">
        <v>809.876953125</v>
      </c>
      <c r="D299">
        <v>1247.869995117188</v>
      </c>
      <c r="E299">
        <v>1835.360595703125</v>
      </c>
      <c r="F299">
        <v>2736.69287109375</v>
      </c>
    </row>
    <row r="300" spans="1:6" x14ac:dyDescent="0.25">
      <c r="A300" s="1">
        <v>45553</v>
      </c>
      <c r="B300">
        <v>1238.435668945312</v>
      </c>
      <c r="C300">
        <v>822.494873046875</v>
      </c>
      <c r="D300">
        <v>1267.796875</v>
      </c>
      <c r="E300">
        <v>1778.585571289062</v>
      </c>
      <c r="F300">
        <v>2756.8671875</v>
      </c>
    </row>
    <row r="301" spans="1:6" x14ac:dyDescent="0.25">
      <c r="A301" s="1">
        <v>45554</v>
      </c>
      <c r="B301">
        <v>1240.682006835938</v>
      </c>
      <c r="C301">
        <v>829.1435546875</v>
      </c>
      <c r="D301">
        <v>1271.388671875</v>
      </c>
      <c r="E301">
        <v>1780.512573242188</v>
      </c>
      <c r="F301">
        <v>2746.36279296875</v>
      </c>
    </row>
    <row r="302" spans="1:6" x14ac:dyDescent="0.25">
      <c r="A302" s="1">
        <v>45555</v>
      </c>
      <c r="B302">
        <v>1242.978271484375</v>
      </c>
      <c r="C302">
        <v>845.01300048828125</v>
      </c>
      <c r="D302">
        <v>1317.09765625</v>
      </c>
      <c r="E302">
        <v>1791.369506835938</v>
      </c>
      <c r="F302">
        <v>2896.909912109375</v>
      </c>
    </row>
    <row r="303" spans="1:6" x14ac:dyDescent="0.25">
      <c r="A303" s="1">
        <v>45558</v>
      </c>
      <c r="B303">
        <v>1244.775390625</v>
      </c>
      <c r="C303">
        <v>854.0396728515625</v>
      </c>
      <c r="D303">
        <v>1300.811645507812</v>
      </c>
      <c r="E303">
        <v>1782.627563476562</v>
      </c>
      <c r="F303">
        <v>2994.051025390625</v>
      </c>
    </row>
    <row r="304" spans="1:6" x14ac:dyDescent="0.25">
      <c r="A304" s="1">
        <v>45559</v>
      </c>
      <c r="B304">
        <v>1237.537231445312</v>
      </c>
      <c r="C304">
        <v>858.04351806640625</v>
      </c>
      <c r="D304">
        <v>1297.564331054688</v>
      </c>
      <c r="E304">
        <v>1784.648681640625</v>
      </c>
      <c r="F304">
        <v>3018.103271484375</v>
      </c>
    </row>
    <row r="305" spans="1:6" x14ac:dyDescent="0.25">
      <c r="A305" s="1">
        <v>45560</v>
      </c>
      <c r="B305">
        <v>1266.040649414062</v>
      </c>
      <c r="C305">
        <v>863.40606689453125</v>
      </c>
      <c r="D305">
        <v>1302.730590820312</v>
      </c>
      <c r="E305">
        <v>1781.546508789062</v>
      </c>
      <c r="F305">
        <v>3034.547119140625</v>
      </c>
    </row>
    <row r="306" spans="1:6" x14ac:dyDescent="0.25">
      <c r="A306" s="1">
        <v>45561</v>
      </c>
      <c r="B306">
        <v>1275.026123046875</v>
      </c>
      <c r="C306">
        <v>865.51715087890625</v>
      </c>
      <c r="D306">
        <v>1307.84765625</v>
      </c>
      <c r="E306">
        <v>1786.199584960938</v>
      </c>
      <c r="F306">
        <v>3122.950927734375</v>
      </c>
    </row>
    <row r="307" spans="1:6" x14ac:dyDescent="0.25">
      <c r="A307" s="1">
        <v>45562</v>
      </c>
      <c r="B307">
        <v>1271.082641601562</v>
      </c>
      <c r="C307">
        <v>850.5697021484375</v>
      </c>
      <c r="D307">
        <v>1285.755737304688</v>
      </c>
      <c r="E307">
        <v>1792.309326171875</v>
      </c>
      <c r="F307">
        <v>3125.4541015625</v>
      </c>
    </row>
    <row r="308" spans="1:6" x14ac:dyDescent="0.25">
      <c r="A308" s="1">
        <v>45565</v>
      </c>
      <c r="B308">
        <v>1230.198974609375</v>
      </c>
      <c r="C308">
        <v>840.572509765625</v>
      </c>
      <c r="D308">
        <v>1252.69189453125</v>
      </c>
      <c r="E308">
        <v>1763.029052734375</v>
      </c>
      <c r="F308">
        <v>3038.326416015625</v>
      </c>
    </row>
    <row r="309" spans="1:6" x14ac:dyDescent="0.25">
      <c r="A309" s="1">
        <v>45566</v>
      </c>
      <c r="B309">
        <v>1224.658081054688</v>
      </c>
      <c r="C309">
        <v>837.73345947265625</v>
      </c>
      <c r="D309">
        <v>1254.069580078125</v>
      </c>
      <c r="E309">
        <v>1790.053344726562</v>
      </c>
      <c r="F309">
        <v>3107.635986328125</v>
      </c>
    </row>
    <row r="310" spans="1:6" x14ac:dyDescent="0.25">
      <c r="A310" s="1">
        <v>45568</v>
      </c>
      <c r="B310">
        <v>1173.790771484375</v>
      </c>
      <c r="C310">
        <v>816.282958984375</v>
      </c>
      <c r="D310">
        <v>1236.307373046875</v>
      </c>
      <c r="E310">
        <v>1779.7607421875</v>
      </c>
      <c r="F310">
        <v>3072.6376953125</v>
      </c>
    </row>
    <row r="311" spans="1:6" x14ac:dyDescent="0.25">
      <c r="A311" s="1">
        <v>45569</v>
      </c>
      <c r="B311">
        <v>1176.486450195312</v>
      </c>
      <c r="C311">
        <v>804.46575927734375</v>
      </c>
      <c r="D311">
        <v>1219.97216796875</v>
      </c>
      <c r="E311">
        <v>1803.025268554688</v>
      </c>
      <c r="F311">
        <v>2962.292236328125</v>
      </c>
    </row>
    <row r="312" spans="1:6" x14ac:dyDescent="0.25">
      <c r="A312" s="1">
        <v>45572</v>
      </c>
      <c r="B312">
        <v>1143.839477539062</v>
      </c>
      <c r="C312">
        <v>785.12640380859375</v>
      </c>
      <c r="D312">
        <v>1214.215576171875</v>
      </c>
      <c r="E312">
        <v>1818.205932617188</v>
      </c>
      <c r="F312">
        <v>3004.2607421875</v>
      </c>
    </row>
    <row r="313" spans="1:6" x14ac:dyDescent="0.25">
      <c r="A313" s="1">
        <v>45573</v>
      </c>
      <c r="B313">
        <v>1151.42724609375</v>
      </c>
      <c r="C313">
        <v>801.2628173828125</v>
      </c>
      <c r="D313">
        <v>1216.872436523438</v>
      </c>
      <c r="E313">
        <v>1831.6005859375</v>
      </c>
      <c r="F313">
        <v>3107.979736328125</v>
      </c>
    </row>
    <row r="314" spans="1:6" x14ac:dyDescent="0.25">
      <c r="A314" s="1">
        <v>45574</v>
      </c>
      <c r="B314">
        <v>1168.249877929688</v>
      </c>
      <c r="C314">
        <v>792.5758056640625</v>
      </c>
      <c r="D314">
        <v>1224.302001953125</v>
      </c>
      <c r="E314">
        <v>1835.548461914062</v>
      </c>
      <c r="F314">
        <v>3095.364501953125</v>
      </c>
    </row>
    <row r="315" spans="1:6" x14ac:dyDescent="0.25">
      <c r="A315" s="1">
        <v>45575</v>
      </c>
      <c r="B315">
        <v>1182.326904296875</v>
      </c>
      <c r="C315">
        <v>806.77093505859375</v>
      </c>
      <c r="D315">
        <v>1223.662475585938</v>
      </c>
      <c r="E315">
        <v>1803.82421875</v>
      </c>
      <c r="F315">
        <v>3135.90966796875</v>
      </c>
    </row>
    <row r="316" spans="1:6" x14ac:dyDescent="0.25">
      <c r="A316" s="1">
        <v>45576</v>
      </c>
      <c r="B316">
        <v>1170.546020507812</v>
      </c>
      <c r="C316">
        <v>801.238525390625</v>
      </c>
      <c r="D316">
        <v>1203.489501953125</v>
      </c>
      <c r="E316">
        <v>1818.957885742188</v>
      </c>
      <c r="F316">
        <v>3077.0556640625</v>
      </c>
    </row>
    <row r="317" spans="1:6" x14ac:dyDescent="0.25">
      <c r="A317" s="1">
        <v>45579</v>
      </c>
      <c r="B317">
        <v>1162.459228515625</v>
      </c>
      <c r="C317">
        <v>819.24334716796875</v>
      </c>
      <c r="D317">
        <v>1212.099853515625</v>
      </c>
      <c r="E317">
        <v>1841.329467773438</v>
      </c>
      <c r="F317">
        <v>3097.229736328125</v>
      </c>
    </row>
    <row r="318" spans="1:6" x14ac:dyDescent="0.25">
      <c r="A318" s="1">
        <v>45580</v>
      </c>
      <c r="B318">
        <v>1151.976318359375</v>
      </c>
      <c r="C318">
        <v>817.3021240234375</v>
      </c>
      <c r="D318">
        <v>1235.470947265625</v>
      </c>
      <c r="E318">
        <v>1841.705444335938</v>
      </c>
      <c r="F318">
        <v>3098.113525390625</v>
      </c>
    </row>
    <row r="319" spans="1:6" x14ac:dyDescent="0.25">
      <c r="A319" s="1">
        <v>45581</v>
      </c>
      <c r="B319">
        <v>1151.327270507812</v>
      </c>
      <c r="C319">
        <v>824.92138671875</v>
      </c>
      <c r="D319">
        <v>1223.317993164062</v>
      </c>
      <c r="E319">
        <v>1804.858154296875</v>
      </c>
      <c r="F319">
        <v>3011.918212890625</v>
      </c>
    </row>
    <row r="320" spans="1:6" x14ac:dyDescent="0.25">
      <c r="A320" s="1">
        <v>45582</v>
      </c>
      <c r="B320">
        <v>1130.012084960938</v>
      </c>
      <c r="C320">
        <v>811.988037109375</v>
      </c>
      <c r="D320">
        <v>1211.60791015625</v>
      </c>
      <c r="E320">
        <v>1849.977294921875</v>
      </c>
      <c r="F320">
        <v>2910.408447265625</v>
      </c>
    </row>
    <row r="321" spans="1:6" x14ac:dyDescent="0.25">
      <c r="A321" s="1">
        <v>45583</v>
      </c>
      <c r="B321">
        <v>1194.906372070312</v>
      </c>
      <c r="C321">
        <v>816.21014404296875</v>
      </c>
      <c r="D321">
        <v>1244.327392578125</v>
      </c>
      <c r="E321">
        <v>1766.788940429688</v>
      </c>
      <c r="F321">
        <v>2910.064697265625</v>
      </c>
    </row>
    <row r="322" spans="1:6" x14ac:dyDescent="0.25">
      <c r="A322" s="1">
        <v>45586</v>
      </c>
      <c r="B322">
        <v>1188.3671875</v>
      </c>
      <c r="C322">
        <v>838.9466552734375</v>
      </c>
      <c r="D322">
        <v>1238.964477539062</v>
      </c>
      <c r="E322">
        <v>1741.550415039062</v>
      </c>
      <c r="F322">
        <v>2943.39404296875</v>
      </c>
    </row>
    <row r="323" spans="1:6" x14ac:dyDescent="0.25">
      <c r="A323" s="1">
        <v>45587</v>
      </c>
      <c r="B323">
        <v>1173.8408203125</v>
      </c>
      <c r="C323">
        <v>832.07958984375</v>
      </c>
      <c r="D323">
        <v>1247.279541015625</v>
      </c>
      <c r="E323">
        <v>1740.469360351562</v>
      </c>
      <c r="F323">
        <v>2834.423095703125</v>
      </c>
    </row>
    <row r="324" spans="1:6" x14ac:dyDescent="0.25">
      <c r="A324" s="1">
        <v>45588</v>
      </c>
      <c r="B324">
        <v>1158.515625</v>
      </c>
      <c r="C324">
        <v>842.39239501953125</v>
      </c>
      <c r="D324">
        <v>1231.633178710938</v>
      </c>
      <c r="E324">
        <v>1760.961059570312</v>
      </c>
      <c r="F324">
        <v>2742.43603515625</v>
      </c>
    </row>
    <row r="325" spans="1:6" x14ac:dyDescent="0.25">
      <c r="A325" s="1">
        <v>45589</v>
      </c>
      <c r="B325">
        <v>1165.454467773438</v>
      </c>
      <c r="C325">
        <v>849.1138916015625</v>
      </c>
      <c r="D325">
        <v>1232.764892578125</v>
      </c>
      <c r="E325">
        <v>1751.51416015625</v>
      </c>
      <c r="F325">
        <v>2774.685546875</v>
      </c>
    </row>
    <row r="326" spans="1:6" x14ac:dyDescent="0.25">
      <c r="A326" s="1">
        <v>45590</v>
      </c>
      <c r="B326">
        <v>1187.418701171875</v>
      </c>
      <c r="C326">
        <v>846.08074951171875</v>
      </c>
      <c r="D326">
        <v>1235.421752929688</v>
      </c>
      <c r="E326">
        <v>1750.292358398438</v>
      </c>
      <c r="F326">
        <v>2671.114013671875</v>
      </c>
    </row>
    <row r="327" spans="1:6" x14ac:dyDescent="0.25">
      <c r="A327" s="1">
        <v>45593</v>
      </c>
      <c r="B327">
        <v>1169.697509765625</v>
      </c>
      <c r="C327">
        <v>841.6158447265625</v>
      </c>
      <c r="D327">
        <v>1272.225219726562</v>
      </c>
      <c r="E327">
        <v>1753.394165039062</v>
      </c>
      <c r="F327">
        <v>2730.16455078125</v>
      </c>
    </row>
    <row r="328" spans="1:6" x14ac:dyDescent="0.25">
      <c r="A328" s="1">
        <v>45594</v>
      </c>
      <c r="B328">
        <v>1184.922607421875</v>
      </c>
      <c r="C328">
        <v>850.1815185546875</v>
      </c>
      <c r="D328">
        <v>1310.602905273438</v>
      </c>
      <c r="E328">
        <v>1748.59326171875</v>
      </c>
      <c r="F328">
        <v>2696.687744140625</v>
      </c>
    </row>
    <row r="329" spans="1:6" x14ac:dyDescent="0.25">
      <c r="A329" s="1">
        <v>45595</v>
      </c>
      <c r="B329">
        <v>1168.499389648438</v>
      </c>
      <c r="C329">
        <v>841.80999755859375</v>
      </c>
      <c r="D329">
        <v>1291.21728515625</v>
      </c>
      <c r="E329">
        <v>1713.227661132812</v>
      </c>
      <c r="F329">
        <v>2658.204345703125</v>
      </c>
    </row>
    <row r="330" spans="1:6" x14ac:dyDescent="0.25">
      <c r="A330" s="1">
        <v>45596</v>
      </c>
      <c r="B330">
        <v>1157.667114257812</v>
      </c>
      <c r="C330">
        <v>842.34381103515625</v>
      </c>
      <c r="D330">
        <v>1271.634643554688</v>
      </c>
      <c r="E330">
        <v>1670.589599609375</v>
      </c>
      <c r="F330">
        <v>2678.673095703125</v>
      </c>
    </row>
    <row r="331" spans="1:6" x14ac:dyDescent="0.25">
      <c r="A331" s="1">
        <v>45597</v>
      </c>
      <c r="B331">
        <v>1167.65087890625</v>
      </c>
      <c r="C331">
        <v>843.120361328125</v>
      </c>
      <c r="D331">
        <v>1271.19189453125</v>
      </c>
      <c r="E331">
        <v>1674.011962890625</v>
      </c>
      <c r="F331">
        <v>2766.14453125</v>
      </c>
    </row>
    <row r="332" spans="1:6" x14ac:dyDescent="0.25">
      <c r="A332" s="1">
        <v>45600</v>
      </c>
      <c r="B332">
        <v>1137.400024414062</v>
      </c>
      <c r="C332">
        <v>831.8612060546875</v>
      </c>
      <c r="D332">
        <v>1256.82470703125</v>
      </c>
      <c r="E332">
        <v>1676.674072265625</v>
      </c>
      <c r="F332">
        <v>2831.232666015625</v>
      </c>
    </row>
    <row r="333" spans="1:6" x14ac:dyDescent="0.25">
      <c r="A333" s="1">
        <v>45601</v>
      </c>
      <c r="B333">
        <v>1169.797241210938</v>
      </c>
      <c r="C333">
        <v>853.09332275390625</v>
      </c>
      <c r="D333">
        <v>1276.013671875</v>
      </c>
      <c r="E333">
        <v>1667.690063476562</v>
      </c>
      <c r="F333">
        <v>2846.44921875</v>
      </c>
    </row>
    <row r="334" spans="1:6" x14ac:dyDescent="0.25">
      <c r="A334" s="1">
        <v>45602</v>
      </c>
      <c r="B334">
        <v>1164.605712890625</v>
      </c>
      <c r="C334">
        <v>851.83154296875</v>
      </c>
      <c r="D334">
        <v>1281.573608398438</v>
      </c>
      <c r="E334">
        <v>1733.762451171875</v>
      </c>
      <c r="F334">
        <v>2880.90771484375</v>
      </c>
    </row>
    <row r="335" spans="1:6" x14ac:dyDescent="0.25">
      <c r="A335" s="1">
        <v>45603</v>
      </c>
      <c r="B335">
        <v>1158.0166015625</v>
      </c>
      <c r="C335">
        <v>847.609375</v>
      </c>
      <c r="D335">
        <v>1258.30078125</v>
      </c>
      <c r="E335">
        <v>1714.130981445312</v>
      </c>
      <c r="F335">
        <v>2838.497314453125</v>
      </c>
    </row>
    <row r="336" spans="1:6" x14ac:dyDescent="0.25">
      <c r="A336" s="1">
        <v>45604</v>
      </c>
      <c r="B336">
        <v>1159.064697265625</v>
      </c>
      <c r="C336">
        <v>851.44329833984375</v>
      </c>
      <c r="D336">
        <v>1238.767456054688</v>
      </c>
      <c r="E336">
        <v>1739.704223632812</v>
      </c>
      <c r="F336">
        <v>2920.52001953125</v>
      </c>
    </row>
    <row r="337" spans="1:6" x14ac:dyDescent="0.25">
      <c r="A337" s="1">
        <v>45607</v>
      </c>
      <c r="B337">
        <v>1169.098388671875</v>
      </c>
      <c r="C337">
        <v>857.1942138671875</v>
      </c>
      <c r="D337">
        <v>1249.050903320312</v>
      </c>
      <c r="E337">
        <v>1768.367431640625</v>
      </c>
      <c r="F337">
        <v>2877.030029296875</v>
      </c>
    </row>
    <row r="338" spans="1:6" x14ac:dyDescent="0.25">
      <c r="A338" s="1">
        <v>45608</v>
      </c>
      <c r="B338">
        <v>1156.269409179688</v>
      </c>
      <c r="C338">
        <v>833.8509521484375</v>
      </c>
      <c r="D338">
        <v>1250.330078125</v>
      </c>
      <c r="E338">
        <v>1776.638427734375</v>
      </c>
      <c r="F338">
        <v>2845.565673828125</v>
      </c>
    </row>
    <row r="339" spans="1:6" x14ac:dyDescent="0.25">
      <c r="A339" s="1">
        <v>45609</v>
      </c>
      <c r="B339">
        <v>1137.30029296875</v>
      </c>
      <c r="C339">
        <v>815.967529296875</v>
      </c>
      <c r="D339">
        <v>1233.699584960938</v>
      </c>
      <c r="E339">
        <v>1776.258178710938</v>
      </c>
      <c r="F339">
        <v>2747.786376953125</v>
      </c>
    </row>
    <row r="340" spans="1:6" x14ac:dyDescent="0.25">
      <c r="A340" s="1">
        <v>45610</v>
      </c>
      <c r="B340">
        <v>1138.84765625</v>
      </c>
      <c r="C340">
        <v>821.5</v>
      </c>
      <c r="D340">
        <v>1236.897705078125</v>
      </c>
      <c r="E340">
        <v>1772.59814453125</v>
      </c>
      <c r="F340">
        <v>2755.8857421875</v>
      </c>
    </row>
    <row r="341" spans="1:6" x14ac:dyDescent="0.25">
      <c r="A341" s="1">
        <v>45614</v>
      </c>
      <c r="B341">
        <v>1124.37109375</v>
      </c>
      <c r="C341">
        <v>827.49346923828125</v>
      </c>
      <c r="D341">
        <v>1233.45361328125</v>
      </c>
      <c r="E341">
        <v>1722.11669921875</v>
      </c>
      <c r="F341">
        <v>2794.85986328125</v>
      </c>
    </row>
    <row r="342" spans="1:6" x14ac:dyDescent="0.25">
      <c r="A342" s="1">
        <v>45615</v>
      </c>
      <c r="B342">
        <v>1132.108520507812</v>
      </c>
      <c r="C342">
        <v>845.52252197265625</v>
      </c>
      <c r="D342">
        <v>1229.173095703125</v>
      </c>
      <c r="E342">
        <v>1734.760864257812</v>
      </c>
      <c r="F342">
        <v>2895.04443359375</v>
      </c>
    </row>
    <row r="343" spans="1:6" x14ac:dyDescent="0.25">
      <c r="A343" s="1">
        <v>45617</v>
      </c>
      <c r="B343">
        <v>1137.30029296875</v>
      </c>
      <c r="C343">
        <v>845.01300048828125</v>
      </c>
      <c r="D343">
        <v>1230.599975585938</v>
      </c>
      <c r="E343">
        <v>1743.602172851562</v>
      </c>
      <c r="F343">
        <v>2882.57666015625</v>
      </c>
    </row>
    <row r="344" spans="1:6" x14ac:dyDescent="0.25">
      <c r="A344" s="1">
        <v>45618</v>
      </c>
      <c r="B344">
        <v>1140.544921875</v>
      </c>
      <c r="C344">
        <v>847.14837646484375</v>
      </c>
      <c r="D344">
        <v>1257.661254882812</v>
      </c>
      <c r="E344">
        <v>1808.438720703125</v>
      </c>
      <c r="F344">
        <v>2957.87451171875</v>
      </c>
    </row>
    <row r="345" spans="1:6" x14ac:dyDescent="0.25">
      <c r="A345" s="1">
        <v>45621</v>
      </c>
      <c r="B345">
        <v>1154.023071289062</v>
      </c>
      <c r="C345">
        <v>866.56048583984375</v>
      </c>
      <c r="D345">
        <v>1280.195922851562</v>
      </c>
      <c r="E345">
        <v>1796.507568359375</v>
      </c>
      <c r="F345">
        <v>2989.927978515625</v>
      </c>
    </row>
    <row r="346" spans="1:6" x14ac:dyDescent="0.25">
      <c r="A346" s="1">
        <v>45622</v>
      </c>
      <c r="B346">
        <v>1142.941040039062</v>
      </c>
      <c r="C346">
        <v>866.5362548828125</v>
      </c>
      <c r="D346">
        <v>1284.132080078125</v>
      </c>
      <c r="E346">
        <v>1829.2587890625</v>
      </c>
      <c r="F346">
        <v>2930.6318359375</v>
      </c>
    </row>
    <row r="347" spans="1:6" x14ac:dyDescent="0.25">
      <c r="A347" s="1">
        <v>45623</v>
      </c>
      <c r="B347">
        <v>1147.783081054688</v>
      </c>
      <c r="C347">
        <v>879.51824951171875</v>
      </c>
      <c r="D347">
        <v>1279.949829101562</v>
      </c>
      <c r="E347">
        <v>1829.591552734375</v>
      </c>
      <c r="F347">
        <v>2949.87353515625</v>
      </c>
    </row>
    <row r="348" spans="1:6" x14ac:dyDescent="0.25">
      <c r="A348" s="1">
        <v>45624</v>
      </c>
      <c r="B348">
        <v>1130.661010742188</v>
      </c>
      <c r="C348">
        <v>870.224609375</v>
      </c>
      <c r="D348">
        <v>1265.828735351562</v>
      </c>
      <c r="E348">
        <v>1765.087524414062</v>
      </c>
      <c r="F348">
        <v>2845.713134765625</v>
      </c>
    </row>
    <row r="349" spans="1:6" x14ac:dyDescent="0.25">
      <c r="A349" s="1">
        <v>45625</v>
      </c>
      <c r="B349">
        <v>1134.454956054688</v>
      </c>
      <c r="C349">
        <v>871.632080078125</v>
      </c>
      <c r="D349">
        <v>1279.359497070312</v>
      </c>
      <c r="E349">
        <v>1766.228393554688</v>
      </c>
      <c r="F349">
        <v>2911.881103515625</v>
      </c>
    </row>
    <row r="350" spans="1:6" x14ac:dyDescent="0.25">
      <c r="A350" s="1">
        <v>45628</v>
      </c>
      <c r="B350">
        <v>1135.253540039062</v>
      </c>
      <c r="C350">
        <v>875.82989501953125</v>
      </c>
      <c r="D350">
        <v>1283.8369140625</v>
      </c>
      <c r="E350">
        <v>1787.096069335938</v>
      </c>
      <c r="F350">
        <v>2961.26123046875</v>
      </c>
    </row>
    <row r="351" spans="1:6" x14ac:dyDescent="0.25">
      <c r="A351" s="1">
        <v>45629</v>
      </c>
      <c r="B351">
        <v>1158.615478515625</v>
      </c>
      <c r="C351">
        <v>886.3125</v>
      </c>
      <c r="D351">
        <v>1287.527099609375</v>
      </c>
      <c r="E351">
        <v>1798.789428710938</v>
      </c>
      <c r="F351">
        <v>2971.962158203125</v>
      </c>
    </row>
    <row r="352" spans="1:6" x14ac:dyDescent="0.25">
      <c r="A352" s="1">
        <v>45630</v>
      </c>
      <c r="B352">
        <v>1157.567138671875</v>
      </c>
      <c r="C352">
        <v>902.71575927734375</v>
      </c>
      <c r="D352">
        <v>1295.055053710938</v>
      </c>
      <c r="E352">
        <v>1796.079956054688</v>
      </c>
      <c r="F352">
        <v>2976.330810546875</v>
      </c>
    </row>
    <row r="353" spans="1:6" x14ac:dyDescent="0.25">
      <c r="A353" s="1">
        <v>45631</v>
      </c>
      <c r="B353">
        <v>1164.505981445312</v>
      </c>
      <c r="C353">
        <v>905.457763671875</v>
      </c>
      <c r="D353">
        <v>1315.178833007812</v>
      </c>
      <c r="E353">
        <v>1839.431030273438</v>
      </c>
      <c r="F353">
        <v>3015.45263671875</v>
      </c>
    </row>
    <row r="354" spans="1:6" x14ac:dyDescent="0.25">
      <c r="A354" s="1">
        <v>45632</v>
      </c>
      <c r="B354">
        <v>1182.62646484375</v>
      </c>
      <c r="C354">
        <v>900.6531982421875</v>
      </c>
      <c r="D354">
        <v>1307.552490234375</v>
      </c>
      <c r="E354">
        <v>1827.595092773438</v>
      </c>
      <c r="F354">
        <v>3016.826904296875</v>
      </c>
    </row>
    <row r="355" spans="1:6" x14ac:dyDescent="0.25">
      <c r="A355" s="1">
        <v>45635</v>
      </c>
      <c r="B355">
        <v>1161.360961914062</v>
      </c>
      <c r="C355">
        <v>907.520263671875</v>
      </c>
      <c r="D355">
        <v>1301.205322265625</v>
      </c>
      <c r="E355">
        <v>1828.783569335938</v>
      </c>
      <c r="F355">
        <v>2995.474365234375</v>
      </c>
    </row>
    <row r="356" spans="1:6" x14ac:dyDescent="0.25">
      <c r="A356" s="1">
        <v>45636</v>
      </c>
      <c r="B356">
        <v>1151.776611328125</v>
      </c>
      <c r="C356">
        <v>906.59820556640625</v>
      </c>
      <c r="D356">
        <v>1309.225219726562</v>
      </c>
      <c r="E356">
        <v>1852.455444335938</v>
      </c>
      <c r="F356">
        <v>3010.83837890625</v>
      </c>
    </row>
    <row r="357" spans="1:6" x14ac:dyDescent="0.25">
      <c r="A357" s="1">
        <v>45637</v>
      </c>
      <c r="B357">
        <v>1145.386962890625</v>
      </c>
      <c r="C357">
        <v>904.17169189453125</v>
      </c>
      <c r="D357">
        <v>1306.322387695312</v>
      </c>
      <c r="E357">
        <v>1876.79296875</v>
      </c>
      <c r="F357">
        <v>3015.894287109375</v>
      </c>
    </row>
    <row r="358" spans="1:6" x14ac:dyDescent="0.25">
      <c r="A358" s="1">
        <v>45638</v>
      </c>
      <c r="B358">
        <v>1143.789672851562</v>
      </c>
      <c r="C358">
        <v>902.30328369140625</v>
      </c>
      <c r="D358">
        <v>1308.04443359375</v>
      </c>
      <c r="E358">
        <v>1889.009399414062</v>
      </c>
      <c r="F358">
        <v>3011.378173828125</v>
      </c>
    </row>
    <row r="359" spans="1:6" x14ac:dyDescent="0.25">
      <c r="A359" s="1">
        <v>45639</v>
      </c>
      <c r="B359">
        <v>1146.28564453125</v>
      </c>
      <c r="C359">
        <v>908.36962890625</v>
      </c>
      <c r="D359">
        <v>1323.44482421875</v>
      </c>
      <c r="E359">
        <v>1901.082885742188</v>
      </c>
      <c r="F359">
        <v>3025.0732421875</v>
      </c>
    </row>
    <row r="360" spans="1:6" x14ac:dyDescent="0.25">
      <c r="A360" s="1">
        <v>45642</v>
      </c>
      <c r="B360">
        <v>1149.031127929688</v>
      </c>
      <c r="C360">
        <v>905.1907958984375</v>
      </c>
      <c r="D360">
        <v>1324.625610351562</v>
      </c>
      <c r="E360">
        <v>1882.402099609375</v>
      </c>
      <c r="F360">
        <v>3028.46044921875</v>
      </c>
    </row>
    <row r="361" spans="1:6" x14ac:dyDescent="0.25">
      <c r="A361" s="1">
        <v>45643</v>
      </c>
      <c r="B361">
        <v>1134.404907226562</v>
      </c>
      <c r="C361">
        <v>889.68536376953125</v>
      </c>
      <c r="D361">
        <v>1312.47265625</v>
      </c>
      <c r="E361">
        <v>1879.1220703125</v>
      </c>
      <c r="F361">
        <v>2985.902587890625</v>
      </c>
    </row>
    <row r="362" spans="1:6" x14ac:dyDescent="0.25">
      <c r="A362" s="1">
        <v>45644</v>
      </c>
      <c r="B362">
        <v>1120.427612304688</v>
      </c>
      <c r="C362">
        <v>878.74169921875</v>
      </c>
      <c r="D362">
        <v>1293.185424804688</v>
      </c>
      <c r="E362">
        <v>1881.54638671875</v>
      </c>
      <c r="F362">
        <v>2995.42529296875</v>
      </c>
    </row>
    <row r="363" spans="1:6" x14ac:dyDescent="0.25">
      <c r="A363" s="1">
        <v>45645</v>
      </c>
      <c r="B363">
        <v>1107.099365234375</v>
      </c>
      <c r="C363">
        <v>870.3944091796875</v>
      </c>
      <c r="D363">
        <v>1266.3701171875</v>
      </c>
      <c r="E363">
        <v>1850.22119140625</v>
      </c>
      <c r="F363">
        <v>2959.54345703125</v>
      </c>
    </row>
    <row r="364" spans="1:6" x14ac:dyDescent="0.25">
      <c r="A364" s="1">
        <v>45646</v>
      </c>
      <c r="B364">
        <v>1070.109375</v>
      </c>
      <c r="C364">
        <v>859.7177734375</v>
      </c>
      <c r="D364">
        <v>1267.84619140625</v>
      </c>
      <c r="E364">
        <v>1827.357543945312</v>
      </c>
      <c r="F364">
        <v>2853.22314453125</v>
      </c>
    </row>
    <row r="365" spans="1:6" x14ac:dyDescent="0.25">
      <c r="A365" s="1">
        <v>45649</v>
      </c>
      <c r="B365">
        <v>1077.397583007812</v>
      </c>
      <c r="C365">
        <v>874.0343017578125</v>
      </c>
      <c r="D365">
        <v>1276.112182617188</v>
      </c>
      <c r="E365">
        <v>1829.4013671875</v>
      </c>
      <c r="F365">
        <v>2856.119140625</v>
      </c>
    </row>
    <row r="366" spans="1:6" x14ac:dyDescent="0.25">
      <c r="A366" s="1">
        <v>45650</v>
      </c>
      <c r="B366">
        <v>1077.148071289062</v>
      </c>
      <c r="C366">
        <v>872.6268310546875</v>
      </c>
      <c r="D366">
        <v>1276.555053710938</v>
      </c>
      <c r="E366">
        <v>1814.903442382812</v>
      </c>
      <c r="F366">
        <v>2875.16455078125</v>
      </c>
    </row>
    <row r="367" spans="1:6" x14ac:dyDescent="0.25">
      <c r="A367" s="1">
        <v>45652</v>
      </c>
      <c r="B367">
        <v>1074.951538085938</v>
      </c>
      <c r="C367">
        <v>869.05987548828125</v>
      </c>
      <c r="D367">
        <v>1276.6533203125</v>
      </c>
      <c r="E367">
        <v>1813.334838867188</v>
      </c>
      <c r="F367">
        <v>2921.25634765625</v>
      </c>
    </row>
    <row r="368" spans="1:6" x14ac:dyDescent="0.25">
      <c r="A368" s="1">
        <v>45653</v>
      </c>
      <c r="B368">
        <v>1075.700317382812</v>
      </c>
      <c r="C368">
        <v>872.69964599609375</v>
      </c>
      <c r="D368">
        <v>1286.690795898438</v>
      </c>
      <c r="E368">
        <v>1822.223754882812</v>
      </c>
      <c r="F368">
        <v>2993.707275390625</v>
      </c>
    </row>
    <row r="369" spans="1:6" x14ac:dyDescent="0.25">
      <c r="A369" s="1">
        <v>45656</v>
      </c>
      <c r="B369">
        <v>1068.21240234375</v>
      </c>
      <c r="C369">
        <v>862.82373046875</v>
      </c>
      <c r="D369">
        <v>1273.996459960938</v>
      </c>
      <c r="E369">
        <v>1812.00390625</v>
      </c>
      <c r="F369">
        <v>2948.008056640625</v>
      </c>
    </row>
    <row r="370" spans="1:6" x14ac:dyDescent="0.25">
      <c r="A370" s="1">
        <v>45657</v>
      </c>
      <c r="B370">
        <v>1062.971069335938</v>
      </c>
      <c r="C370">
        <v>860.3729248046875</v>
      </c>
      <c r="D370">
        <v>1261.203857421875</v>
      </c>
      <c r="E370">
        <v>1787.286010742188</v>
      </c>
      <c r="F370">
        <v>2952.131591796875</v>
      </c>
    </row>
    <row r="371" spans="1:6" x14ac:dyDescent="0.25">
      <c r="A371" s="1">
        <v>45658</v>
      </c>
      <c r="B371">
        <v>1070.0595703125</v>
      </c>
      <c r="C371">
        <v>865.17742919921875</v>
      </c>
      <c r="D371">
        <v>1263.171997070312</v>
      </c>
      <c r="E371">
        <v>1789.662719726562</v>
      </c>
      <c r="F371">
        <v>3025.662353515625</v>
      </c>
    </row>
    <row r="372" spans="1:6" x14ac:dyDescent="0.25">
      <c r="A372" s="1">
        <v>45659</v>
      </c>
      <c r="B372">
        <v>1084.83544921875</v>
      </c>
      <c r="C372">
        <v>870.5157470703125</v>
      </c>
      <c r="D372">
        <v>1270.011108398438</v>
      </c>
      <c r="E372">
        <v>1861.296752929688</v>
      </c>
      <c r="F372">
        <v>3152.402587890625</v>
      </c>
    </row>
    <row r="373" spans="1:6" x14ac:dyDescent="0.25">
      <c r="A373" s="1">
        <v>45660</v>
      </c>
      <c r="B373">
        <v>1083.138305664062</v>
      </c>
      <c r="C373">
        <v>848.89544677734375</v>
      </c>
      <c r="D373">
        <v>1244.86865234375</v>
      </c>
      <c r="E373">
        <v>1843.138671875</v>
      </c>
      <c r="F373">
        <v>3132.22802734375</v>
      </c>
    </row>
    <row r="374" spans="1:6" x14ac:dyDescent="0.25">
      <c r="A374" s="1">
        <v>45663</v>
      </c>
      <c r="B374">
        <v>1061.673217773438</v>
      </c>
      <c r="C374">
        <v>830.1141357421875</v>
      </c>
      <c r="D374">
        <v>1243.933837890625</v>
      </c>
      <c r="E374">
        <v>1842.283203125</v>
      </c>
      <c r="F374">
        <v>3048.928955078125</v>
      </c>
    </row>
    <row r="375" spans="1:6" x14ac:dyDescent="0.25">
      <c r="A375" s="1">
        <v>45664</v>
      </c>
      <c r="B375">
        <v>1065.766479492188</v>
      </c>
      <c r="C375">
        <v>831.52154541015625</v>
      </c>
      <c r="D375">
        <v>1258.842163085938</v>
      </c>
      <c r="E375">
        <v>1835.628295898438</v>
      </c>
      <c r="F375">
        <v>3052.021484375</v>
      </c>
    </row>
    <row r="376" spans="1:6" x14ac:dyDescent="0.25">
      <c r="A376" s="1">
        <v>45665</v>
      </c>
      <c r="B376">
        <v>1073.204345703125</v>
      </c>
      <c r="C376">
        <v>822.252197265625</v>
      </c>
      <c r="D376">
        <v>1243.58935546875</v>
      </c>
      <c r="E376">
        <v>1837.81494140625</v>
      </c>
      <c r="F376">
        <v>3029.6875</v>
      </c>
    </row>
    <row r="377" spans="1:6" x14ac:dyDescent="0.25">
      <c r="A377" s="1">
        <v>45666</v>
      </c>
      <c r="B377">
        <v>1060.02587890625</v>
      </c>
      <c r="C377">
        <v>809.39166259765625</v>
      </c>
      <c r="D377">
        <v>1242.260986328125</v>
      </c>
      <c r="E377">
        <v>1822.746704101562</v>
      </c>
      <c r="F377">
        <v>3069.348876953125</v>
      </c>
    </row>
    <row r="378" spans="1:6" x14ac:dyDescent="0.25">
      <c r="A378" s="1">
        <v>45667</v>
      </c>
      <c r="B378">
        <v>1039.010009765625</v>
      </c>
      <c r="C378">
        <v>804.02899169921875</v>
      </c>
      <c r="D378">
        <v>1229.9111328125</v>
      </c>
      <c r="E378">
        <v>1869.947998046875</v>
      </c>
      <c r="F378">
        <v>3036.31396484375</v>
      </c>
    </row>
    <row r="379" spans="1:6" x14ac:dyDescent="0.25">
      <c r="A379" s="1">
        <v>45670</v>
      </c>
      <c r="B379">
        <v>1047.59619140625</v>
      </c>
      <c r="C379">
        <v>791.45965576171875</v>
      </c>
      <c r="D379">
        <v>1210.1318359375</v>
      </c>
      <c r="E379">
        <v>1865.432250976562</v>
      </c>
      <c r="F379">
        <v>2944.8173828125</v>
      </c>
    </row>
    <row r="380" spans="1:6" x14ac:dyDescent="0.25">
      <c r="A380" s="1">
        <v>45671</v>
      </c>
      <c r="B380">
        <v>1049.942260742188</v>
      </c>
      <c r="C380">
        <v>799.1031494140625</v>
      </c>
      <c r="D380">
        <v>1220.513549804688</v>
      </c>
      <c r="E380">
        <v>1844.374755859375</v>
      </c>
      <c r="F380">
        <v>2993.756591796875</v>
      </c>
    </row>
    <row r="381" spans="1:6" x14ac:dyDescent="0.25">
      <c r="A381" s="1">
        <v>45672</v>
      </c>
      <c r="B381">
        <v>1025.132690429688</v>
      </c>
      <c r="C381">
        <v>797.38031005859375</v>
      </c>
      <c r="D381">
        <v>1218.49609375</v>
      </c>
      <c r="E381">
        <v>1853.501220703125</v>
      </c>
      <c r="F381">
        <v>2906.137939453125</v>
      </c>
    </row>
    <row r="382" spans="1:6" x14ac:dyDescent="0.25">
      <c r="A382" s="1">
        <v>45673</v>
      </c>
      <c r="B382">
        <v>1036.314453125</v>
      </c>
      <c r="C382">
        <v>801.74810791015625</v>
      </c>
      <c r="D382">
        <v>1229.173095703125</v>
      </c>
      <c r="E382">
        <v>1833.3466796875</v>
      </c>
      <c r="F382">
        <v>2926.115966796875</v>
      </c>
    </row>
    <row r="383" spans="1:6" x14ac:dyDescent="0.25">
      <c r="A383" s="1">
        <v>45674</v>
      </c>
      <c r="B383">
        <v>989.440673828125</v>
      </c>
      <c r="C383">
        <v>794.32293701171875</v>
      </c>
      <c r="D383">
        <v>1205.900268554688</v>
      </c>
      <c r="E383">
        <v>1725.919311523438</v>
      </c>
      <c r="F383">
        <v>2864.022216796875</v>
      </c>
    </row>
    <row r="384" spans="1:6" x14ac:dyDescent="0.25">
      <c r="A384" s="1">
        <v>45677</v>
      </c>
      <c r="B384">
        <v>986.445556640625</v>
      </c>
      <c r="C384">
        <v>801.35980224609375</v>
      </c>
      <c r="D384">
        <v>1213.28076171875</v>
      </c>
      <c r="E384">
        <v>1723.87548828125</v>
      </c>
      <c r="F384">
        <v>2835.306884765625</v>
      </c>
    </row>
    <row r="385" spans="1:6" x14ac:dyDescent="0.25">
      <c r="A385" s="1">
        <v>45678</v>
      </c>
      <c r="B385">
        <v>968.62451171875</v>
      </c>
      <c r="C385">
        <v>797.06488037109375</v>
      </c>
      <c r="D385">
        <v>1177.067749023438</v>
      </c>
      <c r="E385">
        <v>1711.896728515625</v>
      </c>
      <c r="F385">
        <v>2769.727783203125</v>
      </c>
    </row>
    <row r="386" spans="1:6" x14ac:dyDescent="0.25">
      <c r="A386" s="1">
        <v>45679</v>
      </c>
      <c r="B386">
        <v>957.74224853515625</v>
      </c>
      <c r="C386">
        <v>808.5423583984375</v>
      </c>
      <c r="D386">
        <v>1181.299072265625</v>
      </c>
      <c r="E386">
        <v>1764.8974609375</v>
      </c>
      <c r="F386">
        <v>2774.78369140625</v>
      </c>
    </row>
    <row r="387" spans="1:6" x14ac:dyDescent="0.25">
      <c r="A387" s="1">
        <v>45680</v>
      </c>
      <c r="B387">
        <v>949.505615234375</v>
      </c>
      <c r="C387">
        <v>807.9842529296875</v>
      </c>
      <c r="D387">
        <v>1182.578491210938</v>
      </c>
      <c r="E387">
        <v>1773.453491210938</v>
      </c>
      <c r="F387">
        <v>2833.686767578125</v>
      </c>
    </row>
    <row r="388" spans="1:6" x14ac:dyDescent="0.25">
      <c r="A388" s="1">
        <v>45681</v>
      </c>
      <c r="B388">
        <v>946.959716796875</v>
      </c>
      <c r="C388">
        <v>800.65618896484375</v>
      </c>
      <c r="D388">
        <v>1189.90966796875</v>
      </c>
      <c r="E388">
        <v>1782.96044921875</v>
      </c>
      <c r="F388">
        <v>2750.19140625</v>
      </c>
    </row>
    <row r="389" spans="1:6" x14ac:dyDescent="0.25">
      <c r="A389" s="1">
        <v>45684</v>
      </c>
      <c r="B389">
        <v>946.56036376953125</v>
      </c>
      <c r="C389">
        <v>790.95001220703125</v>
      </c>
      <c r="D389">
        <v>1208.360473632812</v>
      </c>
      <c r="E389">
        <v>1732.146362304688</v>
      </c>
      <c r="F389">
        <v>2779.839599609375</v>
      </c>
    </row>
    <row r="390" spans="1:6" x14ac:dyDescent="0.25">
      <c r="A390" s="1">
        <v>45685</v>
      </c>
      <c r="B390">
        <v>982.20245361328125</v>
      </c>
      <c r="C390">
        <v>810.6534423828125</v>
      </c>
      <c r="D390">
        <v>1227.008178710938</v>
      </c>
      <c r="E390">
        <v>1739.51416015625</v>
      </c>
      <c r="F390">
        <v>2818.126708984375</v>
      </c>
    </row>
    <row r="391" spans="1:6" x14ac:dyDescent="0.25">
      <c r="A391" s="1">
        <v>45686</v>
      </c>
      <c r="B391">
        <v>981.80316162109375</v>
      </c>
      <c r="C391">
        <v>814.00201416015625</v>
      </c>
      <c r="D391">
        <v>1231.682495117188</v>
      </c>
      <c r="E391">
        <v>1788.474365234375</v>
      </c>
      <c r="F391">
        <v>2870.894287109375</v>
      </c>
    </row>
    <row r="392" spans="1:6" x14ac:dyDescent="0.25">
      <c r="A392" s="1">
        <v>45687</v>
      </c>
      <c r="B392">
        <v>983.1009521484375</v>
      </c>
      <c r="C392">
        <v>820.89337158203125</v>
      </c>
      <c r="D392">
        <v>1235.5693359375</v>
      </c>
      <c r="E392">
        <v>1768.224853515625</v>
      </c>
      <c r="F392">
        <v>2917.133056640625</v>
      </c>
    </row>
    <row r="393" spans="1:6" x14ac:dyDescent="0.25">
      <c r="A393" s="1">
        <v>45688</v>
      </c>
      <c r="B393">
        <v>984.49871826171875</v>
      </c>
      <c r="C393">
        <v>824.41180419921875</v>
      </c>
      <c r="D393">
        <v>1232.814208984375</v>
      </c>
      <c r="E393">
        <v>1787.096069335938</v>
      </c>
      <c r="F393">
        <v>2935.197021484375</v>
      </c>
    </row>
    <row r="394" spans="1:6" x14ac:dyDescent="0.25">
      <c r="A394" s="1">
        <v>45689</v>
      </c>
      <c r="B394">
        <v>996.52911376953125</v>
      </c>
      <c r="C394">
        <v>820.62640380859375</v>
      </c>
      <c r="D394">
        <v>1235.520263671875</v>
      </c>
      <c r="E394">
        <v>1760.048950195312</v>
      </c>
      <c r="F394">
        <v>3020.508544921875</v>
      </c>
    </row>
    <row r="395" spans="1:6" x14ac:dyDescent="0.25">
      <c r="A395" s="1">
        <v>45691</v>
      </c>
      <c r="B395">
        <v>987.79339599609375</v>
      </c>
      <c r="C395">
        <v>814.341796875</v>
      </c>
      <c r="D395">
        <v>1233.010864257812</v>
      </c>
      <c r="E395">
        <v>1771.40966796875</v>
      </c>
      <c r="F395">
        <v>3115.29345703125</v>
      </c>
    </row>
    <row r="396" spans="1:6" x14ac:dyDescent="0.25">
      <c r="A396" s="1">
        <v>45692</v>
      </c>
      <c r="B396">
        <v>1013.651306152344</v>
      </c>
      <c r="C396">
        <v>835.161376953125</v>
      </c>
      <c r="D396">
        <v>1247.968383789062</v>
      </c>
      <c r="E396">
        <v>1805.159057617188</v>
      </c>
      <c r="F396">
        <v>3130.755615234375</v>
      </c>
    </row>
    <row r="397" spans="1:6" x14ac:dyDescent="0.25">
      <c r="A397" s="1">
        <v>45693</v>
      </c>
      <c r="B397">
        <v>1011.654541015625</v>
      </c>
      <c r="C397">
        <v>843.363037109375</v>
      </c>
      <c r="D397">
        <v>1247.476318359375</v>
      </c>
      <c r="E397">
        <v>1803.495361328125</v>
      </c>
      <c r="F397">
        <v>3120.643798828125</v>
      </c>
    </row>
    <row r="398" spans="1:6" x14ac:dyDescent="0.25">
      <c r="A398" s="1">
        <v>45694</v>
      </c>
      <c r="B398">
        <v>1019.042541503906</v>
      </c>
      <c r="C398">
        <v>846.299072265625</v>
      </c>
      <c r="D398">
        <v>1252.101318359375</v>
      </c>
      <c r="E398">
        <v>1821.177978515625</v>
      </c>
      <c r="F398">
        <v>3082.552978515625</v>
      </c>
    </row>
    <row r="399" spans="1:6" x14ac:dyDescent="0.25">
      <c r="A399" s="1">
        <v>45695</v>
      </c>
      <c r="B399">
        <v>1022.43701171875</v>
      </c>
      <c r="C399">
        <v>840.9122314453125</v>
      </c>
      <c r="D399">
        <v>1236.848754882812</v>
      </c>
      <c r="E399">
        <v>1809.769775390625</v>
      </c>
      <c r="F399">
        <v>3139.983642578125</v>
      </c>
    </row>
    <row r="400" spans="1:6" x14ac:dyDescent="0.25">
      <c r="A400" s="1">
        <v>45698</v>
      </c>
      <c r="B400">
        <v>1010.107055664062</v>
      </c>
      <c r="C400">
        <v>832.6619873046875</v>
      </c>
      <c r="D400">
        <v>1242.457641601562</v>
      </c>
      <c r="E400">
        <v>1787.5712890625</v>
      </c>
      <c r="F400">
        <v>3079.90234375</v>
      </c>
    </row>
    <row r="401" spans="1:6" x14ac:dyDescent="0.25">
      <c r="A401" s="1">
        <v>45699</v>
      </c>
      <c r="B401">
        <v>1005.76416015625</v>
      </c>
      <c r="C401">
        <v>825.69793701171875</v>
      </c>
      <c r="D401">
        <v>1232.764892578125</v>
      </c>
      <c r="E401">
        <v>1783.150634765625</v>
      </c>
      <c r="F401">
        <v>3029.5400390625</v>
      </c>
    </row>
    <row r="402" spans="1:6" x14ac:dyDescent="0.25">
      <c r="A402" s="1">
        <v>45700</v>
      </c>
      <c r="B402">
        <v>1005.264953613281</v>
      </c>
      <c r="C402">
        <v>828.31854248046875</v>
      </c>
      <c r="D402">
        <v>1231.829956054688</v>
      </c>
      <c r="E402">
        <v>1771.26708984375</v>
      </c>
      <c r="F402">
        <v>2932.59521484375</v>
      </c>
    </row>
    <row r="403" spans="1:6" x14ac:dyDescent="0.25">
      <c r="A403" s="1">
        <v>45701</v>
      </c>
      <c r="B403">
        <v>1006.562805175781</v>
      </c>
      <c r="C403">
        <v>823.9022216796875</v>
      </c>
      <c r="D403">
        <v>1228.976318359375</v>
      </c>
      <c r="E403">
        <v>1752.348388671875</v>
      </c>
      <c r="F403">
        <v>2923.5634765625</v>
      </c>
    </row>
    <row r="404" spans="1:6" x14ac:dyDescent="0.25">
      <c r="A404" s="1">
        <v>45702</v>
      </c>
      <c r="B404">
        <v>995.88018798828125</v>
      </c>
      <c r="C404">
        <v>822.51910400390625</v>
      </c>
      <c r="D404">
        <v>1239.99755859375</v>
      </c>
      <c r="E404">
        <v>1764.849853515625</v>
      </c>
      <c r="F404">
        <v>2888.810546875</v>
      </c>
    </row>
    <row r="405" spans="1:6" x14ac:dyDescent="0.25">
      <c r="A405" s="1">
        <v>45705</v>
      </c>
      <c r="B405">
        <v>991.33758544921875</v>
      </c>
      <c r="C405">
        <v>833.4384765625</v>
      </c>
      <c r="D405">
        <v>1231.1904296875</v>
      </c>
      <c r="E405">
        <v>1751.4453125</v>
      </c>
      <c r="F405">
        <v>2780.18310546875</v>
      </c>
    </row>
    <row r="406" spans="1:6" x14ac:dyDescent="0.25">
      <c r="A406" s="1">
        <v>45706</v>
      </c>
      <c r="B406">
        <v>992.53564453125</v>
      </c>
      <c r="C406">
        <v>836.2047119140625</v>
      </c>
      <c r="D406">
        <v>1223.219604492188</v>
      </c>
      <c r="E406">
        <v>1760.619384765625</v>
      </c>
      <c r="F406">
        <v>2739.04931640625</v>
      </c>
    </row>
    <row r="407" spans="1:6" x14ac:dyDescent="0.25">
      <c r="A407" s="1">
        <v>45707</v>
      </c>
      <c r="B407">
        <v>1009.707702636719</v>
      </c>
      <c r="C407">
        <v>838.21868896484375</v>
      </c>
      <c r="D407">
        <v>1241.52294921875</v>
      </c>
      <c r="E407">
        <v>1721.498779296875</v>
      </c>
      <c r="F407">
        <v>2706.99560546875</v>
      </c>
    </row>
    <row r="408" spans="1:6" x14ac:dyDescent="0.25">
      <c r="A408" s="1">
        <v>45708</v>
      </c>
      <c r="B408">
        <v>1015.548217773438</v>
      </c>
      <c r="C408">
        <v>818.758056640625</v>
      </c>
      <c r="D408">
        <v>1230.009521484375</v>
      </c>
      <c r="E408">
        <v>1735.14111328125</v>
      </c>
      <c r="F408">
        <v>2787.546142578125</v>
      </c>
    </row>
    <row r="409" spans="1:6" x14ac:dyDescent="0.25">
      <c r="A409" s="1">
        <v>45709</v>
      </c>
      <c r="B409">
        <v>1007.311584472656</v>
      </c>
      <c r="C409">
        <v>821.378662109375</v>
      </c>
      <c r="D409">
        <v>1213.28076171875</v>
      </c>
      <c r="E409">
        <v>1725.491577148438</v>
      </c>
      <c r="F409">
        <v>2620.555419921875</v>
      </c>
    </row>
    <row r="410" spans="1:6" x14ac:dyDescent="0.25">
      <c r="A410" s="1">
        <v>45712</v>
      </c>
      <c r="B410">
        <v>1008.409790039062</v>
      </c>
      <c r="C410">
        <v>813.9049072265625</v>
      </c>
      <c r="D410">
        <v>1198.913696289062</v>
      </c>
      <c r="E410">
        <v>1677.101684570312</v>
      </c>
      <c r="F410">
        <v>2659.677001953125</v>
      </c>
    </row>
    <row r="411" spans="1:6" x14ac:dyDescent="0.25">
      <c r="A411" s="1">
        <v>45713</v>
      </c>
      <c r="B411">
        <v>1007.461303710938</v>
      </c>
      <c r="C411">
        <v>816.4527587890625</v>
      </c>
      <c r="D411">
        <v>1204.621215820312</v>
      </c>
      <c r="E411">
        <v>1680.524169921875</v>
      </c>
      <c r="F411">
        <v>2727.072265625</v>
      </c>
    </row>
    <row r="412" spans="1:6" x14ac:dyDescent="0.25">
      <c r="A412" s="1">
        <v>45715</v>
      </c>
      <c r="B412">
        <v>1015.049011230469</v>
      </c>
      <c r="C412">
        <v>825.35809326171875</v>
      </c>
      <c r="D412">
        <v>1202.9482421875</v>
      </c>
      <c r="E412">
        <v>1677.2919921875</v>
      </c>
      <c r="F412">
        <v>2676.7099609375</v>
      </c>
    </row>
    <row r="413" spans="1:6" x14ac:dyDescent="0.25">
      <c r="A413" s="1">
        <v>45716</v>
      </c>
      <c r="B413">
        <v>1013.90087890625</v>
      </c>
      <c r="C413">
        <v>840.7423095703125</v>
      </c>
      <c r="D413">
        <v>1184.890991210938</v>
      </c>
      <c r="E413">
        <v>1604.469482421875</v>
      </c>
      <c r="F413">
        <v>2537.845703125</v>
      </c>
    </row>
    <row r="414" spans="1:6" x14ac:dyDescent="0.25">
      <c r="A414" s="1">
        <v>45719</v>
      </c>
      <c r="B414">
        <v>1005.614318847656</v>
      </c>
      <c r="C414">
        <v>825.77069091796875</v>
      </c>
      <c r="D414">
        <v>1186.957397460938</v>
      </c>
      <c r="E414">
        <v>1624.338745117188</v>
      </c>
      <c r="F414">
        <v>2564.155517578125</v>
      </c>
    </row>
    <row r="415" spans="1:6" x14ac:dyDescent="0.25">
      <c r="A415" s="1">
        <v>45720</v>
      </c>
      <c r="B415">
        <v>1000.173156738281</v>
      </c>
      <c r="C415">
        <v>829.8714599609375</v>
      </c>
      <c r="D415">
        <v>1191.090454101562</v>
      </c>
      <c r="E415">
        <v>1605.0400390625</v>
      </c>
      <c r="F415">
        <v>2565.5791015625</v>
      </c>
    </row>
    <row r="416" spans="1:6" x14ac:dyDescent="0.25">
      <c r="A416" s="1">
        <v>45721</v>
      </c>
      <c r="B416">
        <v>1012.802734375</v>
      </c>
      <c r="C416">
        <v>820.1654052734375</v>
      </c>
      <c r="D416">
        <v>1196.305908203125</v>
      </c>
      <c r="E416">
        <v>1627.095825195312</v>
      </c>
      <c r="F416">
        <v>2676.7587890625</v>
      </c>
    </row>
    <row r="417" spans="1:6" x14ac:dyDescent="0.25">
      <c r="A417" s="1">
        <v>45722</v>
      </c>
      <c r="B417">
        <v>1032.420776367188</v>
      </c>
      <c r="C417">
        <v>820.74774169921875</v>
      </c>
      <c r="D417">
        <v>1198.618530273438</v>
      </c>
      <c r="E417">
        <v>1631.231323242188</v>
      </c>
      <c r="F417">
        <v>2692.27001953125</v>
      </c>
    </row>
    <row r="418" spans="1:6" x14ac:dyDescent="0.25">
      <c r="A418" s="1">
        <v>45723</v>
      </c>
      <c r="B418">
        <v>1035.964965820312</v>
      </c>
      <c r="C418">
        <v>819.80145263671875</v>
      </c>
      <c r="D418">
        <v>1195.17431640625</v>
      </c>
      <c r="E418">
        <v>1602.853393554688</v>
      </c>
      <c r="F418">
        <v>2677.986083984375</v>
      </c>
    </row>
    <row r="419" spans="1:6" x14ac:dyDescent="0.25">
      <c r="A419" s="1">
        <v>45726</v>
      </c>
      <c r="B419">
        <v>1034.16796875</v>
      </c>
      <c r="C419">
        <v>818.9521484375</v>
      </c>
      <c r="D419">
        <v>1195.469482421875</v>
      </c>
      <c r="E419">
        <v>1617.54150390625</v>
      </c>
      <c r="F419">
        <v>2653.19775390625</v>
      </c>
    </row>
    <row r="420" spans="1:6" x14ac:dyDescent="0.25">
      <c r="A420" s="1">
        <v>45727</v>
      </c>
      <c r="B420">
        <v>1023.984497070312</v>
      </c>
      <c r="C420">
        <v>817.98150634765625</v>
      </c>
      <c r="D420">
        <v>1225.532104492188</v>
      </c>
      <c r="E420">
        <v>1579.656616210938</v>
      </c>
      <c r="F420">
        <v>2597.239501953125</v>
      </c>
    </row>
    <row r="421" spans="1:6" x14ac:dyDescent="0.25">
      <c r="A421" s="1">
        <v>45728</v>
      </c>
      <c r="B421">
        <v>1009.557983398438</v>
      </c>
      <c r="C421">
        <v>830.4296875</v>
      </c>
      <c r="D421">
        <v>1224.105224609375</v>
      </c>
      <c r="E421">
        <v>1512.395751953125</v>
      </c>
      <c r="F421">
        <v>2604.798828125</v>
      </c>
    </row>
    <row r="422" spans="1:6" x14ac:dyDescent="0.25">
      <c r="A422" s="1">
        <v>45729</v>
      </c>
      <c r="B422">
        <v>1008.5595703125</v>
      </c>
      <c r="C422">
        <v>828.22149658203125</v>
      </c>
      <c r="D422">
        <v>1230.10791015625</v>
      </c>
      <c r="E422">
        <v>1501.938232421875</v>
      </c>
      <c r="F422">
        <v>2595.177978515625</v>
      </c>
    </row>
    <row r="423" spans="1:6" x14ac:dyDescent="0.25">
      <c r="A423" s="1">
        <v>45733</v>
      </c>
      <c r="B423">
        <v>1032.470703125</v>
      </c>
      <c r="C423">
        <v>830.06561279296875</v>
      </c>
      <c r="D423">
        <v>1248.755737304688</v>
      </c>
      <c r="E423">
        <v>1511.635375976562</v>
      </c>
      <c r="F423">
        <v>2655.700927734375</v>
      </c>
    </row>
    <row r="424" spans="1:6" x14ac:dyDescent="0.25">
      <c r="A424" s="1">
        <v>45734</v>
      </c>
      <c r="B424">
        <v>1032.470703125</v>
      </c>
      <c r="C424">
        <v>830.06561279296875</v>
      </c>
      <c r="D424">
        <v>1248.755737304688</v>
      </c>
      <c r="E424">
        <v>1511.635375976562</v>
      </c>
      <c r="F424">
        <v>2655.700927734375</v>
      </c>
    </row>
    <row r="425" spans="1:6" x14ac:dyDescent="0.25">
      <c r="A425" s="1">
        <v>45735</v>
      </c>
      <c r="B425">
        <v>1050.341552734375</v>
      </c>
      <c r="C425">
        <v>846.42041015625</v>
      </c>
      <c r="D425">
        <v>1292.151977539062</v>
      </c>
      <c r="E425">
        <v>1508.307861328125</v>
      </c>
      <c r="F425">
        <v>2738.116455078125</v>
      </c>
    </row>
    <row r="426" spans="1:6" x14ac:dyDescent="0.25">
      <c r="A426" s="1">
        <v>45736</v>
      </c>
      <c r="B426">
        <v>1052.637817382812</v>
      </c>
      <c r="C426">
        <v>858.3831787109375</v>
      </c>
      <c r="D426">
        <v>1300.614868164062</v>
      </c>
      <c r="E426">
        <v>1535.877685546875</v>
      </c>
      <c r="F426">
        <v>2776.403564453125</v>
      </c>
    </row>
    <row r="427" spans="1:6" x14ac:dyDescent="0.25">
      <c r="A427" s="1">
        <v>45737</v>
      </c>
      <c r="B427">
        <v>1068.412231445312</v>
      </c>
      <c r="C427">
        <v>859.15960693359375</v>
      </c>
      <c r="D427">
        <v>1321.673583984375</v>
      </c>
      <c r="E427">
        <v>1514.011962890625</v>
      </c>
      <c r="F427">
        <v>2750.63330078125</v>
      </c>
    </row>
    <row r="428" spans="1:6" x14ac:dyDescent="0.25">
      <c r="A428" s="1">
        <v>45740</v>
      </c>
      <c r="B428">
        <v>1096.067138671875</v>
      </c>
      <c r="C428">
        <v>873.5489501953125</v>
      </c>
      <c r="D428">
        <v>1336.483520507812</v>
      </c>
      <c r="E428">
        <v>1514.2021484375</v>
      </c>
      <c r="F428">
        <v>2723.979736328125</v>
      </c>
    </row>
    <row r="429" spans="1:6" x14ac:dyDescent="0.25">
      <c r="A429" s="1">
        <v>45741</v>
      </c>
      <c r="B429">
        <v>1116.733764648438</v>
      </c>
      <c r="C429">
        <v>883.95867919921875</v>
      </c>
      <c r="D429">
        <v>1322.263916015625</v>
      </c>
      <c r="E429">
        <v>1548.141357421875</v>
      </c>
      <c r="F429">
        <v>2685.987060546875</v>
      </c>
    </row>
    <row r="430" spans="1:6" x14ac:dyDescent="0.25">
      <c r="A430" s="1">
        <v>45742</v>
      </c>
      <c r="B430">
        <v>1094.469848632812</v>
      </c>
      <c r="C430">
        <v>876.72772216796875</v>
      </c>
      <c r="D430">
        <v>1314.58837890625</v>
      </c>
      <c r="E430">
        <v>1520.571533203125</v>
      </c>
      <c r="F430">
        <v>2692.122802734375</v>
      </c>
    </row>
    <row r="431" spans="1:6" x14ac:dyDescent="0.25">
      <c r="A431" s="1">
        <v>45743</v>
      </c>
      <c r="B431">
        <v>1096.56640625</v>
      </c>
      <c r="C431">
        <v>885.85137939453125</v>
      </c>
      <c r="D431">
        <v>1315.326416015625</v>
      </c>
      <c r="E431">
        <v>1524.469482421875</v>
      </c>
      <c r="F431">
        <v>2683.0419921875</v>
      </c>
    </row>
    <row r="432" spans="1:6" x14ac:dyDescent="0.25">
      <c r="A432" s="1">
        <v>45744</v>
      </c>
      <c r="B432">
        <v>1100.21044921875</v>
      </c>
      <c r="C432">
        <v>887.23455810546875</v>
      </c>
      <c r="D432">
        <v>1326.839721679688</v>
      </c>
      <c r="E432">
        <v>1493.192016601562</v>
      </c>
      <c r="F432">
        <v>2617.070556640625</v>
      </c>
    </row>
    <row r="433" spans="1:6" x14ac:dyDescent="0.25">
      <c r="A433" s="1">
        <v>45748</v>
      </c>
      <c r="B433">
        <v>1083.837158203125</v>
      </c>
      <c r="C433">
        <v>857.9464111328125</v>
      </c>
      <c r="D433">
        <v>1297.416748046875</v>
      </c>
      <c r="E433">
        <v>1451.21923828125</v>
      </c>
      <c r="F433">
        <v>2589.68017578125</v>
      </c>
    </row>
    <row r="434" spans="1:6" x14ac:dyDescent="0.25">
      <c r="A434" s="1">
        <v>45749</v>
      </c>
      <c r="B434">
        <v>1082.68896484375</v>
      </c>
      <c r="C434">
        <v>872.04449462890625</v>
      </c>
      <c r="D434">
        <v>1310.012573242188</v>
      </c>
      <c r="E434">
        <v>1473.703002929688</v>
      </c>
      <c r="F434">
        <v>2589.336669921875</v>
      </c>
    </row>
    <row r="435" spans="1:6" x14ac:dyDescent="0.25">
      <c r="A435" s="1">
        <v>45750</v>
      </c>
      <c r="B435">
        <v>1088.080200195312</v>
      </c>
      <c r="C435">
        <v>871.04962158203125</v>
      </c>
      <c r="D435">
        <v>1308.339721679688</v>
      </c>
      <c r="E435">
        <v>1422.69873046875</v>
      </c>
      <c r="F435">
        <v>2563.713623046875</v>
      </c>
    </row>
    <row r="436" spans="1:6" x14ac:dyDescent="0.25">
      <c r="A436" s="1">
        <v>45751</v>
      </c>
      <c r="B436">
        <v>1089.527954101562</v>
      </c>
      <c r="C436">
        <v>881.9447021484375</v>
      </c>
      <c r="D436">
        <v>1313.998046875</v>
      </c>
      <c r="E436">
        <v>1380.060668945312</v>
      </c>
      <c r="F436">
        <v>2549.086181640625</v>
      </c>
    </row>
    <row r="437" spans="1:6" x14ac:dyDescent="0.25">
      <c r="A437" s="1">
        <v>45754</v>
      </c>
      <c r="B437">
        <v>1046.248168945312</v>
      </c>
      <c r="C437">
        <v>853.02056884765625</v>
      </c>
      <c r="D437">
        <v>1267.009765625</v>
      </c>
      <c r="E437">
        <v>1327.868041992188</v>
      </c>
      <c r="F437">
        <v>2445.711181640625</v>
      </c>
    </row>
    <row r="438" spans="1:6" x14ac:dyDescent="0.25">
      <c r="A438" s="1">
        <v>45755</v>
      </c>
      <c r="B438">
        <v>1076.099731445312</v>
      </c>
      <c r="C438">
        <v>858.57733154296875</v>
      </c>
      <c r="D438">
        <v>1279.162719726562</v>
      </c>
      <c r="E438">
        <v>1358.337524414062</v>
      </c>
      <c r="F438">
        <v>2477.5185546875</v>
      </c>
    </row>
    <row r="439" spans="1:6" x14ac:dyDescent="0.25">
      <c r="A439" s="1">
        <v>45756</v>
      </c>
      <c r="B439">
        <v>1059.926025390625</v>
      </c>
      <c r="C439">
        <v>856.56329345703125</v>
      </c>
      <c r="D439">
        <v>1280.04833984375</v>
      </c>
      <c r="E439">
        <v>1334.475219726562</v>
      </c>
      <c r="F439">
        <v>2476.97900390625</v>
      </c>
    </row>
    <row r="440" spans="1:6" x14ac:dyDescent="0.25">
      <c r="A440" s="1">
        <v>45758</v>
      </c>
      <c r="B440">
        <v>1067.214111328125</v>
      </c>
      <c r="C440">
        <v>876.82470703125</v>
      </c>
      <c r="D440">
        <v>1290.725219726562</v>
      </c>
      <c r="E440">
        <v>1339.941650390625</v>
      </c>
      <c r="F440">
        <v>2533.182373046875</v>
      </c>
    </row>
    <row r="441" spans="1:6" x14ac:dyDescent="0.25">
      <c r="A441" s="1">
        <v>45762</v>
      </c>
      <c r="B441">
        <v>1110.993041992188</v>
      </c>
      <c r="C441">
        <v>905.04522705078125</v>
      </c>
      <c r="D441">
        <v>1328.66015625</v>
      </c>
      <c r="E441">
        <v>1355.675537109375</v>
      </c>
      <c r="F441">
        <v>2597.632080078125</v>
      </c>
    </row>
    <row r="442" spans="1:6" x14ac:dyDescent="0.25">
      <c r="A442" s="1">
        <v>45763</v>
      </c>
      <c r="B442">
        <v>1159.414306640625</v>
      </c>
      <c r="C442">
        <v>911.40277099609375</v>
      </c>
      <c r="D442">
        <v>1334.761352539062</v>
      </c>
      <c r="E442">
        <v>1343.41162109375</v>
      </c>
      <c r="F442">
        <v>2586.44091796875</v>
      </c>
    </row>
    <row r="443" spans="1:6" x14ac:dyDescent="0.25">
      <c r="A443" s="1">
        <v>45764</v>
      </c>
      <c r="B443">
        <v>1188.866333007812</v>
      </c>
      <c r="C443">
        <v>925.3309326171875</v>
      </c>
      <c r="D443">
        <v>1384.2587890625</v>
      </c>
      <c r="E443">
        <v>1349.49609375</v>
      </c>
      <c r="F443">
        <v>2630.421630859375</v>
      </c>
    </row>
    <row r="444" spans="1:6" x14ac:dyDescent="0.25">
      <c r="A444" s="1">
        <v>45768</v>
      </c>
      <c r="B444">
        <v>1221.014038085938</v>
      </c>
      <c r="C444">
        <v>935.231201171875</v>
      </c>
      <c r="D444">
        <v>1387.3095703125</v>
      </c>
      <c r="E444">
        <v>1379.442626953125</v>
      </c>
      <c r="F444">
        <v>2713.47509765625</v>
      </c>
    </row>
    <row r="445" spans="1:6" x14ac:dyDescent="0.25">
      <c r="A445" s="1">
        <v>45769</v>
      </c>
      <c r="B445">
        <v>1214.824096679688</v>
      </c>
      <c r="C445">
        <v>952.02276611328125</v>
      </c>
      <c r="D445">
        <v>1393.902587890625</v>
      </c>
      <c r="E445">
        <v>1352.633422851562</v>
      </c>
      <c r="F445">
        <v>2765.604736328125</v>
      </c>
    </row>
    <row r="446" spans="1:6" x14ac:dyDescent="0.25">
      <c r="A446" s="1">
        <v>45770</v>
      </c>
      <c r="B446">
        <v>1204.940185546875</v>
      </c>
      <c r="C446">
        <v>933.67828369140625</v>
      </c>
      <c r="D446">
        <v>1401.676513671875</v>
      </c>
      <c r="E446">
        <v>1402.1640625</v>
      </c>
      <c r="F446">
        <v>2864.464111328125</v>
      </c>
    </row>
    <row r="447" spans="1:6" x14ac:dyDescent="0.25">
      <c r="A447" s="1">
        <v>45771</v>
      </c>
      <c r="B447">
        <v>1205.139892578125</v>
      </c>
      <c r="C447">
        <v>930.2325439453125</v>
      </c>
      <c r="D447">
        <v>1380.322631835938</v>
      </c>
      <c r="E447">
        <v>1398.836547851562</v>
      </c>
      <c r="F447">
        <v>2848.363525390625</v>
      </c>
    </row>
    <row r="448" spans="1:6" x14ac:dyDescent="0.25">
      <c r="A448" s="1">
        <v>45772</v>
      </c>
      <c r="B448">
        <v>1164.406127929688</v>
      </c>
      <c r="C448">
        <v>927.51483154296875</v>
      </c>
      <c r="D448">
        <v>1382.38916015625</v>
      </c>
      <c r="E448">
        <v>1407.202514648438</v>
      </c>
      <c r="F448">
        <v>2811.843505859375</v>
      </c>
    </row>
    <row r="449" spans="1:6" x14ac:dyDescent="0.25">
      <c r="A449" s="1">
        <v>45775</v>
      </c>
      <c r="B449">
        <v>1190.863159179688</v>
      </c>
      <c r="C449">
        <v>931.882568359375</v>
      </c>
      <c r="D449">
        <v>1406.00634765625</v>
      </c>
      <c r="E449">
        <v>1409.0087890625</v>
      </c>
      <c r="F449">
        <v>2877.030029296875</v>
      </c>
    </row>
    <row r="450" spans="1:6" x14ac:dyDescent="0.25">
      <c r="A450" s="1">
        <v>45776</v>
      </c>
      <c r="B450">
        <v>1185.3720703125</v>
      </c>
      <c r="C450">
        <v>926.35015869140625</v>
      </c>
      <c r="D450">
        <v>1406.990356445312</v>
      </c>
      <c r="E450">
        <v>1423.6494140625</v>
      </c>
      <c r="F450">
        <v>2856.413818359375</v>
      </c>
    </row>
    <row r="451" spans="1:6" x14ac:dyDescent="0.25">
      <c r="A451" s="1">
        <v>45777</v>
      </c>
      <c r="B451">
        <v>1183.07568359375</v>
      </c>
      <c r="C451">
        <v>934.2120361328125</v>
      </c>
      <c r="D451">
        <v>1404.235107421875</v>
      </c>
      <c r="E451">
        <v>1426.121215820312</v>
      </c>
      <c r="F451">
        <v>2875.2626953125</v>
      </c>
    </row>
    <row r="452" spans="1:6" x14ac:dyDescent="0.25">
      <c r="A452" s="1">
        <v>45779</v>
      </c>
      <c r="B452">
        <v>1181.478271484375</v>
      </c>
      <c r="C452">
        <v>932.7076416015625</v>
      </c>
      <c r="D452">
        <v>1407.285522460938</v>
      </c>
      <c r="E452">
        <v>1432.5859375</v>
      </c>
      <c r="F452">
        <v>2863.874755859375</v>
      </c>
    </row>
    <row r="453" spans="1:6" x14ac:dyDescent="0.25">
      <c r="A453" s="1">
        <v>45782</v>
      </c>
      <c r="B453">
        <v>1171.294921875</v>
      </c>
      <c r="C453">
        <v>939.93865966796875</v>
      </c>
      <c r="D453">
        <v>1406.596801757812</v>
      </c>
      <c r="E453">
        <v>1434.201904296875</v>
      </c>
      <c r="F453">
        <v>2966.26806640625</v>
      </c>
    </row>
    <row r="454" spans="1:6" x14ac:dyDescent="0.25">
      <c r="A454" s="1">
        <v>45783</v>
      </c>
      <c r="B454">
        <v>1159.514038085938</v>
      </c>
      <c r="C454">
        <v>937.463623046875</v>
      </c>
      <c r="D454">
        <v>1408.761596679688</v>
      </c>
      <c r="E454">
        <v>1436.958984375</v>
      </c>
      <c r="F454">
        <v>3012.310791015625</v>
      </c>
    </row>
    <row r="455" spans="1:6" x14ac:dyDescent="0.25">
      <c r="A455" s="1">
        <v>45784</v>
      </c>
      <c r="B455">
        <v>1159.414306640625</v>
      </c>
      <c r="C455">
        <v>944.20941162109375</v>
      </c>
      <c r="D455">
        <v>1412.501098632812</v>
      </c>
      <c r="E455">
        <v>1433.916870117188</v>
      </c>
      <c r="F455">
        <v>3062.86962890625</v>
      </c>
    </row>
    <row r="456" spans="1:6" x14ac:dyDescent="0.25">
      <c r="A456" s="1">
        <v>45785</v>
      </c>
      <c r="B456">
        <v>1170.296508789062</v>
      </c>
      <c r="C456">
        <v>935.91064453125</v>
      </c>
      <c r="D456">
        <v>1412.599487304688</v>
      </c>
      <c r="E456">
        <v>1436.863891601562</v>
      </c>
      <c r="F456">
        <v>2977.656494140625</v>
      </c>
    </row>
    <row r="457" spans="1:6" x14ac:dyDescent="0.25">
      <c r="A457" s="1">
        <v>45786</v>
      </c>
      <c r="B457">
        <v>1149.230712890625</v>
      </c>
      <c r="C457">
        <v>917.080810546875</v>
      </c>
      <c r="D457">
        <v>1366.742919921875</v>
      </c>
      <c r="E457">
        <v>1433.251342773438</v>
      </c>
      <c r="F457">
        <v>2927.588623046875</v>
      </c>
    </row>
    <row r="458" spans="1:6" x14ac:dyDescent="0.25">
      <c r="A458" s="1">
        <v>45789</v>
      </c>
      <c r="B458">
        <v>1201.04638671875</v>
      </c>
      <c r="C458">
        <v>949.8388671875</v>
      </c>
      <c r="D458">
        <v>1425.39208984375</v>
      </c>
      <c r="E458">
        <v>1546.66796875</v>
      </c>
      <c r="F458">
        <v>3047.947509765625</v>
      </c>
    </row>
    <row r="459" spans="1:6" x14ac:dyDescent="0.25">
      <c r="A459" s="1">
        <v>45790</v>
      </c>
      <c r="B459">
        <v>1191.661743164062</v>
      </c>
      <c r="C459">
        <v>933.04736328125</v>
      </c>
      <c r="D459">
        <v>1407.777587890625</v>
      </c>
      <c r="E459">
        <v>1491.243041992188</v>
      </c>
      <c r="F459">
        <v>2997.977783203125</v>
      </c>
    </row>
    <row r="460" spans="1:6" x14ac:dyDescent="0.25">
      <c r="A460" s="1">
        <v>45791</v>
      </c>
      <c r="B460">
        <v>1193.558715820312</v>
      </c>
      <c r="C460">
        <v>927.22369384765625</v>
      </c>
      <c r="D460">
        <v>1403.44775390625</v>
      </c>
      <c r="E460">
        <v>1513.869384765625</v>
      </c>
      <c r="F460">
        <v>3045.100341796875</v>
      </c>
    </row>
    <row r="461" spans="1:6" x14ac:dyDescent="0.25">
      <c r="A461" s="1">
        <v>45792</v>
      </c>
      <c r="B461">
        <v>1207.136596679688</v>
      </c>
      <c r="C461">
        <v>938.48272705078125</v>
      </c>
      <c r="D461">
        <v>1427.655395507812</v>
      </c>
      <c r="E461">
        <v>1533.453491210938</v>
      </c>
      <c r="F461">
        <v>3086.823486328125</v>
      </c>
    </row>
    <row r="462" spans="1:6" x14ac:dyDescent="0.25">
      <c r="A462" s="1">
        <v>45793</v>
      </c>
      <c r="B462">
        <v>1206.837158203125</v>
      </c>
      <c r="C462">
        <v>938.91949462890625</v>
      </c>
      <c r="D462">
        <v>1430.804321289062</v>
      </c>
      <c r="E462">
        <v>1511.49267578125</v>
      </c>
      <c r="F462">
        <v>3078.282470703125</v>
      </c>
    </row>
    <row r="463" spans="1:6" x14ac:dyDescent="0.25">
      <c r="A463" s="1">
        <v>45796</v>
      </c>
      <c r="B463">
        <v>1200.846923828125</v>
      </c>
      <c r="C463">
        <v>940.8607177734375</v>
      </c>
      <c r="D463">
        <v>1425.884155273438</v>
      </c>
      <c r="E463">
        <v>1482.877197265625</v>
      </c>
      <c r="F463">
        <v>3070.821533203125</v>
      </c>
    </row>
    <row r="464" spans="1:6" x14ac:dyDescent="0.25">
      <c r="A464" s="1">
        <v>45797</v>
      </c>
      <c r="B464">
        <v>1193.858276367188</v>
      </c>
      <c r="C464">
        <v>929.31048583984375</v>
      </c>
      <c r="D464">
        <v>1415.25634765625</v>
      </c>
      <c r="E464">
        <v>1483.637573242188</v>
      </c>
      <c r="F464">
        <v>3007.500732421875</v>
      </c>
    </row>
    <row r="465" spans="1:6" x14ac:dyDescent="0.25">
      <c r="A465" s="1">
        <v>45798</v>
      </c>
      <c r="B465">
        <v>1195.85498046875</v>
      </c>
      <c r="C465">
        <v>935.08563232421875</v>
      </c>
      <c r="D465">
        <v>1421.652709960938</v>
      </c>
      <c r="E465">
        <v>1491.14794921875</v>
      </c>
      <c r="F465">
        <v>3034.203369140625</v>
      </c>
    </row>
    <row r="466" spans="1:6" x14ac:dyDescent="0.25">
      <c r="A466" s="1">
        <v>45799</v>
      </c>
      <c r="B466">
        <v>1186.570068359375</v>
      </c>
      <c r="C466">
        <v>931.73699951171875</v>
      </c>
      <c r="D466">
        <v>1419.094116210938</v>
      </c>
      <c r="E466">
        <v>1471.18359375</v>
      </c>
      <c r="F466">
        <v>2951.345947265625</v>
      </c>
    </row>
    <row r="467" spans="1:6" x14ac:dyDescent="0.25">
      <c r="A467" s="1">
        <v>45800</v>
      </c>
      <c r="B467">
        <v>1208.135009765625</v>
      </c>
      <c r="C467">
        <v>938.38568115234375</v>
      </c>
      <c r="D467">
        <v>1426.67138671875</v>
      </c>
      <c r="E467">
        <v>1487.630493164062</v>
      </c>
      <c r="F467">
        <v>2957.629150390625</v>
      </c>
    </row>
    <row r="468" spans="1:6" x14ac:dyDescent="0.25">
      <c r="A468" s="1">
        <v>45803</v>
      </c>
      <c r="B468">
        <v>1213.2265625</v>
      </c>
      <c r="C468">
        <v>941.588623046875</v>
      </c>
      <c r="D468">
        <v>1437.298950195312</v>
      </c>
      <c r="E468">
        <v>1502.55615234375</v>
      </c>
      <c r="F468">
        <v>3023.895263671875</v>
      </c>
    </row>
    <row r="469" spans="1:6" x14ac:dyDescent="0.25">
      <c r="A469" s="1">
        <v>45804</v>
      </c>
      <c r="B469">
        <v>1193.658447265625</v>
      </c>
      <c r="C469">
        <v>934.84295654296875</v>
      </c>
      <c r="D469">
        <v>1423.325561523438</v>
      </c>
      <c r="E469">
        <v>1492.669067382812</v>
      </c>
      <c r="F469">
        <v>2984.233642578125</v>
      </c>
    </row>
    <row r="470" spans="1:6" x14ac:dyDescent="0.25">
      <c r="A470" s="1">
        <v>45805</v>
      </c>
      <c r="B470">
        <v>1192.759887695312</v>
      </c>
      <c r="C470">
        <v>933.484130859375</v>
      </c>
      <c r="D470">
        <v>1430.607543945312</v>
      </c>
      <c r="E470">
        <v>1494.285278320312</v>
      </c>
      <c r="F470">
        <v>2943.00146484375</v>
      </c>
    </row>
    <row r="471" spans="1:6" x14ac:dyDescent="0.25">
      <c r="A471" s="1">
        <v>45806</v>
      </c>
      <c r="B471">
        <v>1199.74853515625</v>
      </c>
      <c r="C471">
        <v>935.42535400390625</v>
      </c>
      <c r="D471">
        <v>1433.264404296875</v>
      </c>
      <c r="E471">
        <v>1507.404663085938</v>
      </c>
      <c r="F471">
        <v>2953.99658203125</v>
      </c>
    </row>
    <row r="472" spans="1:6" x14ac:dyDescent="0.25">
      <c r="A472" s="1">
        <v>45807</v>
      </c>
      <c r="B472">
        <v>1190.264038085938</v>
      </c>
      <c r="C472">
        <v>943.86962890625</v>
      </c>
      <c r="D472">
        <v>1422.735229492188</v>
      </c>
      <c r="E472">
        <v>1506.536987304688</v>
      </c>
      <c r="F472">
        <v>2922.38525390625</v>
      </c>
    </row>
    <row r="473" spans="1:6" x14ac:dyDescent="0.25">
      <c r="A473" s="1">
        <v>45810</v>
      </c>
      <c r="B473">
        <v>1192.46044921875</v>
      </c>
      <c r="C473">
        <v>937.65777587890625</v>
      </c>
      <c r="D473">
        <v>1427.360229492188</v>
      </c>
      <c r="E473">
        <v>1497.956909179688</v>
      </c>
      <c r="F473">
        <v>2970.587646484375</v>
      </c>
    </row>
    <row r="474" spans="1:6" x14ac:dyDescent="0.25">
      <c r="A474" s="1">
        <v>45811</v>
      </c>
      <c r="B474">
        <v>1179.581420898438</v>
      </c>
      <c r="C474">
        <v>934.0179443359375</v>
      </c>
      <c r="D474">
        <v>1414.961181640625</v>
      </c>
      <c r="E474">
        <v>1487.545043945312</v>
      </c>
      <c r="F474">
        <v>2990.811279296875</v>
      </c>
    </row>
    <row r="475" spans="1:6" x14ac:dyDescent="0.25">
      <c r="A475" s="1">
        <v>45812</v>
      </c>
      <c r="B475">
        <v>1169.098388671875</v>
      </c>
      <c r="C475">
        <v>942.07403564453125</v>
      </c>
      <c r="D475">
        <v>1408.171264648438</v>
      </c>
      <c r="E475">
        <v>1495.450317382812</v>
      </c>
      <c r="F475">
        <v>2997.585205078125</v>
      </c>
    </row>
    <row r="476" spans="1:6" x14ac:dyDescent="0.25">
      <c r="A476" s="1">
        <v>45813</v>
      </c>
      <c r="B476">
        <v>1157.117919921875</v>
      </c>
      <c r="C476">
        <v>946.1505126953125</v>
      </c>
      <c r="D476">
        <v>1431.591552734375</v>
      </c>
      <c r="E476">
        <v>1498.43896484375</v>
      </c>
      <c r="F476">
        <v>2986.0009765625</v>
      </c>
    </row>
    <row r="477" spans="1:6" x14ac:dyDescent="0.25">
      <c r="A477" s="1">
        <v>45814</v>
      </c>
      <c r="B477">
        <v>1192.66015625</v>
      </c>
      <c r="C477">
        <v>960.27294921875</v>
      </c>
      <c r="D477">
        <v>1436.413330078125</v>
      </c>
      <c r="E477">
        <v>1507.597534179688</v>
      </c>
      <c r="F477">
        <v>3049.71435546875</v>
      </c>
    </row>
    <row r="478" spans="1:6" x14ac:dyDescent="0.25">
      <c r="A478" s="1">
        <v>45817</v>
      </c>
      <c r="B478">
        <v>1217.919067382812</v>
      </c>
      <c r="C478">
        <v>960.37005615234375</v>
      </c>
      <c r="D478">
        <v>1411.910766601562</v>
      </c>
      <c r="E478">
        <v>1516.370483398438</v>
      </c>
      <c r="F478">
        <v>3030.96337890625</v>
      </c>
    </row>
    <row r="479" spans="1:6" x14ac:dyDescent="0.25">
      <c r="A479" s="1">
        <v>45818</v>
      </c>
      <c r="B479">
        <v>1230.798095703125</v>
      </c>
      <c r="C479">
        <v>953.7698974609375</v>
      </c>
      <c r="D479">
        <v>1400.200439453125</v>
      </c>
      <c r="E479">
        <v>1538.640258789062</v>
      </c>
      <c r="F479">
        <v>3011.42724609375</v>
      </c>
    </row>
    <row r="480" spans="1:6" x14ac:dyDescent="0.25">
      <c r="A480" s="1">
        <v>45819</v>
      </c>
      <c r="B480">
        <v>1229.400390625</v>
      </c>
      <c r="C480">
        <v>946.53887939453125</v>
      </c>
      <c r="D480">
        <v>1408.171264648438</v>
      </c>
      <c r="E480">
        <v>1572.478759765625</v>
      </c>
      <c r="F480">
        <v>3024.385986328125</v>
      </c>
    </row>
    <row r="481" spans="1:6" x14ac:dyDescent="0.25">
      <c r="A481" s="1">
        <v>45820</v>
      </c>
      <c r="B481">
        <v>1210.930419921875</v>
      </c>
      <c r="C481">
        <v>943.1417236328125</v>
      </c>
      <c r="D481">
        <v>1402.463745117188</v>
      </c>
      <c r="E481">
        <v>1550.787353515625</v>
      </c>
      <c r="F481">
        <v>2964.01025390625</v>
      </c>
    </row>
    <row r="482" spans="1:6" x14ac:dyDescent="0.25">
      <c r="A482" s="1">
        <v>45821</v>
      </c>
      <c r="B482">
        <v>1203.842041015625</v>
      </c>
      <c r="C482">
        <v>930.620849609375</v>
      </c>
      <c r="D482">
        <v>1393.508911132812</v>
      </c>
      <c r="E482">
        <v>1544.424560546875</v>
      </c>
      <c r="F482">
        <v>2951.051513671875</v>
      </c>
    </row>
    <row r="483" spans="1:6" x14ac:dyDescent="0.25">
      <c r="A483" s="1">
        <v>45824</v>
      </c>
      <c r="B483">
        <v>1213.426391601562</v>
      </c>
      <c r="C483">
        <v>939.25921630859375</v>
      </c>
      <c r="D483">
        <v>1404.13671875</v>
      </c>
      <c r="E483">
        <v>1565.441162109375</v>
      </c>
      <c r="F483">
        <v>2968.330078125</v>
      </c>
    </row>
    <row r="484" spans="1:6" x14ac:dyDescent="0.25">
      <c r="A484" s="1">
        <v>45825</v>
      </c>
      <c r="B484">
        <v>1213.126831054688</v>
      </c>
      <c r="C484">
        <v>936.4444580078125</v>
      </c>
      <c r="D484">
        <v>1400.49560546875</v>
      </c>
      <c r="E484">
        <v>1580.962524414062</v>
      </c>
      <c r="F484">
        <v>2952.2294921875</v>
      </c>
    </row>
    <row r="485" spans="1:6" x14ac:dyDescent="0.25">
      <c r="A485" s="1">
        <v>45826</v>
      </c>
      <c r="B485">
        <v>1219.017333984375</v>
      </c>
      <c r="C485">
        <v>938.53131103515625</v>
      </c>
      <c r="D485">
        <v>1390.064697265625</v>
      </c>
      <c r="E485">
        <v>1574.214111328125</v>
      </c>
      <c r="F485">
        <v>2985.510009765625</v>
      </c>
    </row>
    <row r="486" spans="1:6" x14ac:dyDescent="0.25">
      <c r="A486" s="1">
        <v>45827</v>
      </c>
      <c r="B486">
        <v>1215.52294921875</v>
      </c>
      <c r="C486">
        <v>939.210693359375</v>
      </c>
      <c r="D486">
        <v>1388.78564453125</v>
      </c>
      <c r="E486">
        <v>1560.235229492188</v>
      </c>
      <c r="F486">
        <v>3038.228271484375</v>
      </c>
    </row>
    <row r="487" spans="1:6" x14ac:dyDescent="0.25">
      <c r="A487" s="1">
        <v>45828</v>
      </c>
      <c r="B487">
        <v>1218.7177734375</v>
      </c>
      <c r="C487">
        <v>953.47869873046875</v>
      </c>
      <c r="D487">
        <v>1404.33349609375</v>
      </c>
      <c r="E487">
        <v>1564.573486328125</v>
      </c>
      <c r="F487">
        <v>3126.1904296875</v>
      </c>
    </row>
    <row r="488" spans="1:6" x14ac:dyDescent="0.25">
      <c r="A488" s="1">
        <v>45831</v>
      </c>
      <c r="B488">
        <v>1212.12841796875</v>
      </c>
      <c r="C488">
        <v>945.56817626953125</v>
      </c>
      <c r="D488">
        <v>1397.445190429688</v>
      </c>
      <c r="E488">
        <v>1527.071533203125</v>
      </c>
      <c r="F488">
        <v>3077.693603515625</v>
      </c>
    </row>
    <row r="489" spans="1:6" x14ac:dyDescent="0.25">
      <c r="A489" s="1">
        <v>45832</v>
      </c>
      <c r="B489">
        <v>1219.216918945312</v>
      </c>
      <c r="C489">
        <v>951.634521484375</v>
      </c>
      <c r="D489">
        <v>1401.38134765625</v>
      </c>
      <c r="E489">
        <v>1524.757690429688</v>
      </c>
      <c r="F489">
        <v>3092.517578125</v>
      </c>
    </row>
    <row r="490" spans="1:6" x14ac:dyDescent="0.25">
      <c r="A490" s="1">
        <v>45833</v>
      </c>
      <c r="B490">
        <v>1211.329711914062</v>
      </c>
      <c r="C490">
        <v>961.00091552734375</v>
      </c>
      <c r="D490">
        <v>1403.05419921875</v>
      </c>
      <c r="E490">
        <v>1556.860961914062</v>
      </c>
      <c r="F490">
        <v>3156.721923828125</v>
      </c>
    </row>
    <row r="491" spans="1:6" x14ac:dyDescent="0.25">
      <c r="A491" s="1">
        <v>45834</v>
      </c>
      <c r="B491">
        <v>1231.496948242188</v>
      </c>
      <c r="C491">
        <v>981.18963623046875</v>
      </c>
      <c r="D491">
        <v>1416.141967773438</v>
      </c>
      <c r="E491">
        <v>1557.92138671875</v>
      </c>
      <c r="F491">
        <v>3157.0166015625</v>
      </c>
    </row>
    <row r="492" spans="1:6" x14ac:dyDescent="0.25">
      <c r="A492" s="1">
        <v>45835</v>
      </c>
      <c r="B492">
        <v>1223.110595703125</v>
      </c>
      <c r="C492">
        <v>988.59832763671875</v>
      </c>
      <c r="D492">
        <v>1438.873413085938</v>
      </c>
      <c r="E492">
        <v>1550.208984375</v>
      </c>
      <c r="F492">
        <v>3144.7451171875</v>
      </c>
    </row>
    <row r="493" spans="1:6" x14ac:dyDescent="0.25">
      <c r="A493" s="1">
        <v>45838</v>
      </c>
      <c r="B493">
        <v>1197.252563476562</v>
      </c>
      <c r="C493">
        <v>982.023681640625</v>
      </c>
      <c r="D493">
        <v>1422.735229492188</v>
      </c>
      <c r="E493">
        <v>1544.231811523438</v>
      </c>
      <c r="F493">
        <v>3125.012451171875</v>
      </c>
    </row>
    <row r="494" spans="1:6" x14ac:dyDescent="0.25">
      <c r="A494" s="1">
        <v>45839</v>
      </c>
      <c r="B494">
        <v>1171.394775390625</v>
      </c>
      <c r="C494">
        <v>987.2244873046875</v>
      </c>
      <c r="D494">
        <v>1409.1552734375</v>
      </c>
      <c r="E494">
        <v>1549.05224609375</v>
      </c>
      <c r="F494">
        <v>3118.04248046875</v>
      </c>
    </row>
    <row r="495" spans="1:6" x14ac:dyDescent="0.25">
      <c r="A495" s="1">
        <v>45840</v>
      </c>
      <c r="B495">
        <v>1173.391479492188</v>
      </c>
      <c r="C495">
        <v>974.418701171875</v>
      </c>
      <c r="D495">
        <v>1405.022338867188</v>
      </c>
      <c r="E495">
        <v>1552.619140625</v>
      </c>
      <c r="F495">
        <v>3107.34130859375</v>
      </c>
    </row>
    <row r="496" spans="1:6" x14ac:dyDescent="0.25">
      <c r="A496" s="1">
        <v>45841</v>
      </c>
      <c r="B496">
        <v>1169.1982421875</v>
      </c>
      <c r="C496">
        <v>974.9583740234375</v>
      </c>
      <c r="D496">
        <v>1403.152587890625</v>
      </c>
      <c r="E496">
        <v>1560.5244140625</v>
      </c>
      <c r="F496">
        <v>3116.373291015625</v>
      </c>
    </row>
    <row r="497" spans="1:6" x14ac:dyDescent="0.25">
      <c r="A497" s="1">
        <v>45842</v>
      </c>
      <c r="B497">
        <v>1176.692504882812</v>
      </c>
      <c r="C497">
        <v>976.037841796875</v>
      </c>
      <c r="D497">
        <v>1419.783081054688</v>
      </c>
      <c r="E497">
        <v>1581.733642578125</v>
      </c>
      <c r="F497">
        <v>3129.634033203125</v>
      </c>
    </row>
    <row r="498" spans="1:6" x14ac:dyDescent="0.25">
      <c r="A498" s="1">
        <v>45845</v>
      </c>
      <c r="B498">
        <v>1174.194458007812</v>
      </c>
      <c r="C498">
        <v>975.1055908203125</v>
      </c>
      <c r="D498">
        <v>1412.796142578125</v>
      </c>
      <c r="E498">
        <v>1568.526245117188</v>
      </c>
      <c r="F498">
        <v>3127.35791015625</v>
      </c>
    </row>
    <row r="499" spans="1:6" x14ac:dyDescent="0.25">
      <c r="A499" s="1">
        <v>45846</v>
      </c>
      <c r="B499">
        <v>1164.501953125</v>
      </c>
      <c r="C499">
        <v>981.974609375</v>
      </c>
      <c r="D499">
        <v>1418.995727539062</v>
      </c>
      <c r="E499">
        <v>1579.805541992188</v>
      </c>
      <c r="F499">
        <v>3125.081787109375</v>
      </c>
    </row>
    <row r="500" spans="1:6" x14ac:dyDescent="0.25">
      <c r="A500" s="1">
        <v>45847</v>
      </c>
      <c r="B500">
        <v>1163.802368164062</v>
      </c>
      <c r="C500">
        <v>986.78289794921875</v>
      </c>
      <c r="D500">
        <v>1409.057006835938</v>
      </c>
      <c r="E500">
        <v>1574.9853515625</v>
      </c>
      <c r="F500">
        <v>3143.290771484375</v>
      </c>
    </row>
    <row r="501" spans="1:6" x14ac:dyDescent="0.25">
      <c r="A501" s="1">
        <v>45848</v>
      </c>
      <c r="B501">
        <v>1163.40283203125</v>
      </c>
      <c r="C501">
        <v>984.32965087890625</v>
      </c>
      <c r="D501">
        <v>1401.38134765625</v>
      </c>
      <c r="E501">
        <v>1557.728759765625</v>
      </c>
      <c r="F501">
        <v>3129.53515625</v>
      </c>
    </row>
    <row r="502" spans="1:6" x14ac:dyDescent="0.25">
      <c r="A502" s="1">
        <v>45849</v>
      </c>
      <c r="B502">
        <v>1172.8955078125</v>
      </c>
      <c r="C502">
        <v>973.2901611328125</v>
      </c>
      <c r="D502">
        <v>1399.216430664062</v>
      </c>
      <c r="E502">
        <v>1537.579711914062</v>
      </c>
      <c r="F502">
        <v>3041.26220703125</v>
      </c>
    </row>
    <row r="503" spans="1:6" x14ac:dyDescent="0.25">
      <c r="A503" s="1">
        <v>45852</v>
      </c>
      <c r="B503">
        <v>1171.796264648438</v>
      </c>
      <c r="C503">
        <v>972.94677734375</v>
      </c>
      <c r="D503">
        <v>1400.298950195312</v>
      </c>
      <c r="E503">
        <v>1513.863891601562</v>
      </c>
      <c r="F503">
        <v>3059.9658203125</v>
      </c>
    </row>
    <row r="504" spans="1:6" x14ac:dyDescent="0.25">
      <c r="A504" s="1">
        <v>45853</v>
      </c>
      <c r="B504">
        <v>1165.001586914062</v>
      </c>
      <c r="C504">
        <v>979.079833984375</v>
      </c>
      <c r="D504">
        <v>1407.974487304688</v>
      </c>
      <c r="E504">
        <v>1528.614013671875</v>
      </c>
      <c r="F504">
        <v>3096.08642578125</v>
      </c>
    </row>
    <row r="505" spans="1:6" x14ac:dyDescent="0.25">
      <c r="A505" s="1">
        <v>45854</v>
      </c>
      <c r="B505">
        <v>1167.499633789062</v>
      </c>
      <c r="C505">
        <v>979.47235107421875</v>
      </c>
      <c r="D505">
        <v>1403.644653320312</v>
      </c>
      <c r="E505">
        <v>1550.112670898438</v>
      </c>
      <c r="F505">
        <v>3163.28076171875</v>
      </c>
    </row>
    <row r="506" spans="1:6" x14ac:dyDescent="0.25">
      <c r="A506" s="1">
        <v>45855</v>
      </c>
      <c r="B506">
        <v>1158.90625</v>
      </c>
      <c r="C506">
        <v>974.86029052734375</v>
      </c>
      <c r="D506">
        <v>1396.067504882812</v>
      </c>
      <c r="E506">
        <v>1526.589599609375</v>
      </c>
      <c r="F506">
        <v>3161.79638671875</v>
      </c>
    </row>
    <row r="507" spans="1:6" x14ac:dyDescent="0.25">
      <c r="A507" s="1">
        <v>45856</v>
      </c>
      <c r="B507">
        <v>1098.452880859375</v>
      </c>
      <c r="C507">
        <v>960.38629150390625</v>
      </c>
      <c r="D507">
        <v>1403.05419921875</v>
      </c>
      <c r="E507">
        <v>1529.095947265625</v>
      </c>
      <c r="F507">
        <v>3159.223388671875</v>
      </c>
    </row>
    <row r="508" spans="1:6" x14ac:dyDescent="0.25">
      <c r="A508" s="1">
        <v>45859</v>
      </c>
      <c r="B508">
        <v>1098.752563476562</v>
      </c>
      <c r="C508">
        <v>981.53302001953125</v>
      </c>
      <c r="D508">
        <v>1442.416137695312</v>
      </c>
      <c r="E508">
        <v>1527.36083984375</v>
      </c>
      <c r="F508">
        <v>3212.958984375</v>
      </c>
    </row>
    <row r="509" spans="1:6" x14ac:dyDescent="0.25">
      <c r="A509" s="1">
        <v>45860</v>
      </c>
      <c r="B509">
        <v>1097.15380859375</v>
      </c>
      <c r="C509">
        <v>984.771240234375</v>
      </c>
      <c r="D509">
        <v>1450.091674804688</v>
      </c>
      <c r="E509">
        <v>1514.4423828125</v>
      </c>
      <c r="F509">
        <v>3223.349853515625</v>
      </c>
    </row>
    <row r="510" spans="1:6" x14ac:dyDescent="0.25">
      <c r="A510" s="1">
        <v>45861</v>
      </c>
      <c r="B510">
        <v>1103.948608398438</v>
      </c>
      <c r="C510">
        <v>993.21038818359375</v>
      </c>
      <c r="D510">
        <v>1464.852294921875</v>
      </c>
      <c r="E510">
        <v>1517.912963867188</v>
      </c>
      <c r="F510">
        <v>3234.82958984375</v>
      </c>
    </row>
    <row r="511" spans="1:6" x14ac:dyDescent="0.25">
      <c r="A511" s="1">
        <v>45862</v>
      </c>
      <c r="B511">
        <v>1094.256103515625</v>
      </c>
      <c r="C511">
        <v>988.25482177734375</v>
      </c>
      <c r="D511">
        <v>1459.7353515625</v>
      </c>
      <c r="E511">
        <v>1496.70361328125</v>
      </c>
      <c r="F511">
        <v>3227.011474609375</v>
      </c>
    </row>
    <row r="512" spans="1:6" x14ac:dyDescent="0.25">
      <c r="A512" s="1">
        <v>45863</v>
      </c>
      <c r="B512">
        <v>1085.262939453125</v>
      </c>
      <c r="C512">
        <v>985.99224853515625</v>
      </c>
      <c r="D512">
        <v>1453.535766601562</v>
      </c>
      <c r="E512">
        <v>1461.226196289062</v>
      </c>
      <c r="F512">
        <v>3212.662109375</v>
      </c>
    </row>
    <row r="513" spans="1:6" x14ac:dyDescent="0.25">
      <c r="A513" s="1">
        <v>45866</v>
      </c>
      <c r="B513">
        <v>1072.772583007812</v>
      </c>
      <c r="C513">
        <v>987.9105224609375</v>
      </c>
      <c r="D513">
        <v>1464.655639648438</v>
      </c>
      <c r="E513">
        <v>1461.515380859375</v>
      </c>
      <c r="F513">
        <v>3176.442626953125</v>
      </c>
    </row>
    <row r="514" spans="1:6" x14ac:dyDescent="0.25">
      <c r="A514" s="1">
        <v>45867</v>
      </c>
      <c r="B514">
        <v>1063.3798828125</v>
      </c>
      <c r="C514">
        <v>994.35394287109375</v>
      </c>
      <c r="D514">
        <v>1462.490600585938</v>
      </c>
      <c r="E514">
        <v>1459.297973632812</v>
      </c>
      <c r="F514">
        <v>3166.150634765625</v>
      </c>
    </row>
    <row r="515" spans="1:6" x14ac:dyDescent="0.25">
      <c r="A515" s="1">
        <v>45868</v>
      </c>
      <c r="B515">
        <v>1072.472900390625</v>
      </c>
      <c r="C515">
        <v>996.4197998046875</v>
      </c>
      <c r="D515">
        <v>1458.751342773438</v>
      </c>
      <c r="E515">
        <v>1464.40771484375</v>
      </c>
      <c r="F515">
        <v>3175.5517578125</v>
      </c>
    </row>
    <row r="516" spans="1:6" x14ac:dyDescent="0.25">
      <c r="A516" s="1">
        <v>45869</v>
      </c>
      <c r="B516">
        <v>1067.57666015625</v>
      </c>
      <c r="C516">
        <v>992.68157958984375</v>
      </c>
      <c r="D516">
        <v>1457.767333984375</v>
      </c>
      <c r="E516">
        <v>1454.76708984375</v>
      </c>
      <c r="F516">
        <v>3169.812255859375</v>
      </c>
    </row>
    <row r="517" spans="1:6" x14ac:dyDescent="0.25">
      <c r="A517" s="1">
        <v>45870</v>
      </c>
      <c r="B517">
        <v>1061.581298828125</v>
      </c>
      <c r="C517">
        <v>989.73040771484375</v>
      </c>
      <c r="D517">
        <v>1448.12353515625</v>
      </c>
      <c r="E517">
        <v>1416.782958984375</v>
      </c>
      <c r="F517">
        <v>3126.467529296875</v>
      </c>
    </row>
    <row r="518" spans="1:6" x14ac:dyDescent="0.25">
      <c r="A518" s="1">
        <v>45873</v>
      </c>
      <c r="B518">
        <v>1067.776489257812</v>
      </c>
      <c r="C518">
        <v>979.79473876953125</v>
      </c>
      <c r="D518">
        <v>1439.857543945312</v>
      </c>
      <c r="E518">
        <v>1427.291259765625</v>
      </c>
      <c r="F518">
        <v>3166.9423828125</v>
      </c>
    </row>
    <row r="519" spans="1:6" x14ac:dyDescent="0.25">
      <c r="A519" s="1">
        <v>45874</v>
      </c>
      <c r="B519">
        <v>1069.974853515625</v>
      </c>
      <c r="C519">
        <v>972.71185302734375</v>
      </c>
      <c r="D519">
        <v>1421.357421875</v>
      </c>
      <c r="E519">
        <v>1407.817260742188</v>
      </c>
      <c r="F519">
        <v>3178.817626953125</v>
      </c>
    </row>
    <row r="520" spans="1:6" x14ac:dyDescent="0.25">
      <c r="A520" s="1">
        <v>45875</v>
      </c>
      <c r="B520">
        <v>1070.174682617188</v>
      </c>
      <c r="C520">
        <v>976.499267578125</v>
      </c>
      <c r="D520">
        <v>1420.5703125</v>
      </c>
      <c r="E520">
        <v>1385.0654296875</v>
      </c>
      <c r="F520">
        <v>3193.958740234375</v>
      </c>
    </row>
    <row r="521" spans="1:6" x14ac:dyDescent="0.25">
      <c r="A521" s="1">
        <v>45876</v>
      </c>
      <c r="B521">
        <v>1075.37060546875</v>
      </c>
      <c r="C521">
        <v>981.46710205078125</v>
      </c>
      <c r="D521">
        <v>1417.322998046875</v>
      </c>
      <c r="E521">
        <v>1385.258178710938</v>
      </c>
      <c r="F521">
        <v>3177.729248046875</v>
      </c>
    </row>
    <row r="522" spans="1:6" x14ac:dyDescent="0.25">
      <c r="A522" s="1">
        <v>45877</v>
      </c>
      <c r="B522">
        <v>1057.284545898438</v>
      </c>
      <c r="C522">
        <v>970.89202880859375</v>
      </c>
      <c r="D522">
        <v>1412.9931640625</v>
      </c>
      <c r="E522">
        <v>1371.954223632812</v>
      </c>
      <c r="F522">
        <v>3111.524169921875</v>
      </c>
    </row>
    <row r="523" spans="1:6" x14ac:dyDescent="0.25">
      <c r="A523" s="1">
        <v>45880</v>
      </c>
      <c r="B523">
        <v>1072.472900390625</v>
      </c>
      <c r="C523">
        <v>981.5654296875</v>
      </c>
      <c r="D523">
        <v>1413.681884765625</v>
      </c>
      <c r="E523">
        <v>1376.870849609375</v>
      </c>
      <c r="F523">
        <v>3153.087890625</v>
      </c>
    </row>
    <row r="524" spans="1:6" x14ac:dyDescent="0.25">
      <c r="A524" s="1">
        <v>45881</v>
      </c>
      <c r="B524">
        <v>1069.175415039062</v>
      </c>
      <c r="C524">
        <v>968.924560546875</v>
      </c>
      <c r="D524">
        <v>1410.112060546875</v>
      </c>
      <c r="E524">
        <v>1372.918334960938</v>
      </c>
      <c r="F524">
        <v>3202.864990234375</v>
      </c>
    </row>
    <row r="525" spans="1:6" x14ac:dyDescent="0.25">
      <c r="A525" s="1">
        <v>45882</v>
      </c>
      <c r="B525">
        <v>1065.178466796875</v>
      </c>
      <c r="C525">
        <v>974.0399169921875</v>
      </c>
      <c r="D525">
        <v>1408.922119140625</v>
      </c>
      <c r="E525">
        <v>1375.328491210938</v>
      </c>
      <c r="F525">
        <v>3248.090087890625</v>
      </c>
    </row>
    <row r="526" spans="1:6" x14ac:dyDescent="0.25">
      <c r="A526" s="1">
        <v>45883</v>
      </c>
      <c r="B526">
        <v>1067.376708984375</v>
      </c>
      <c r="C526">
        <v>979.35205078125</v>
      </c>
      <c r="D526">
        <v>1415.367797851562</v>
      </c>
      <c r="E526">
        <v>1395.670043945312</v>
      </c>
      <c r="F526">
        <v>3231.464599609375</v>
      </c>
    </row>
    <row r="527" spans="1:6" x14ac:dyDescent="0.25">
      <c r="A527" s="1">
        <v>45887</v>
      </c>
      <c r="B527">
        <v>1081.765747070312</v>
      </c>
      <c r="C527">
        <v>985.5003662109375</v>
      </c>
      <c r="D527">
        <v>1422.606689453125</v>
      </c>
      <c r="E527">
        <v>1384.19775390625</v>
      </c>
      <c r="F527">
        <v>3347.941650390625</v>
      </c>
    </row>
    <row r="528" spans="1:6" x14ac:dyDescent="0.25">
      <c r="A528" s="1">
        <v>45888</v>
      </c>
      <c r="B528">
        <v>1082.365234375</v>
      </c>
      <c r="C528">
        <v>979.35205078125</v>
      </c>
      <c r="D528">
        <v>1424.29248046875</v>
      </c>
      <c r="E528">
        <v>1388.246948242188</v>
      </c>
      <c r="F528">
        <v>3319.14404296875</v>
      </c>
    </row>
    <row r="529" spans="1:6" x14ac:dyDescent="0.25">
      <c r="A529" s="1">
        <v>45889</v>
      </c>
      <c r="B529">
        <v>1079.367553710938</v>
      </c>
      <c r="C529">
        <v>977.9256591796875</v>
      </c>
      <c r="D529">
        <v>1418.64013671875</v>
      </c>
      <c r="E529">
        <v>1442.427001953125</v>
      </c>
      <c r="F529">
        <v>3360.311767578125</v>
      </c>
    </row>
    <row r="530" spans="1:6" x14ac:dyDescent="0.25">
      <c r="A530" s="1">
        <v>45890</v>
      </c>
      <c r="B530">
        <v>1078.068603515625</v>
      </c>
      <c r="C530">
        <v>979.4012451171875</v>
      </c>
      <c r="D530">
        <v>1433.911376953125</v>
      </c>
      <c r="E530">
        <v>1442.619873046875</v>
      </c>
      <c r="F530">
        <v>3340.02490234375</v>
      </c>
    </row>
    <row r="531" spans="1:6" x14ac:dyDescent="0.25">
      <c r="A531" s="1">
        <v>45891</v>
      </c>
      <c r="B531">
        <v>1070.07470703125</v>
      </c>
      <c r="C531">
        <v>966.317626953125</v>
      </c>
      <c r="D531">
        <v>1424.391723632812</v>
      </c>
      <c r="E531">
        <v>1434.039672851562</v>
      </c>
      <c r="F531">
        <v>3367.634765625</v>
      </c>
    </row>
    <row r="532" spans="1:6" x14ac:dyDescent="0.25">
      <c r="A532" s="1">
        <v>45894</v>
      </c>
      <c r="B532">
        <v>1069.175415039062</v>
      </c>
      <c r="C532">
        <v>966.07171630859375</v>
      </c>
      <c r="D532">
        <v>1421.218383789062</v>
      </c>
      <c r="E532">
        <v>1477.036743164062</v>
      </c>
      <c r="F532">
        <v>3363.577392578125</v>
      </c>
    </row>
    <row r="533" spans="1:6" x14ac:dyDescent="0.25">
      <c r="A533" s="1">
        <v>45895</v>
      </c>
      <c r="B533">
        <v>1049.290771484375</v>
      </c>
      <c r="C533">
        <v>957.5625</v>
      </c>
      <c r="D533">
        <v>1404.757202148438</v>
      </c>
      <c r="E533">
        <v>1474.626586914062</v>
      </c>
      <c r="F533">
        <v>3296.18505859375</v>
      </c>
    </row>
    <row r="534" spans="1:6" x14ac:dyDescent="0.25">
      <c r="A534" s="1">
        <v>45897</v>
      </c>
      <c r="B534">
        <v>1051.08935546875</v>
      </c>
      <c r="C534">
        <v>942.21624755859375</v>
      </c>
      <c r="D534">
        <v>1387.403442382812</v>
      </c>
      <c r="E534">
        <v>1446.186889648438</v>
      </c>
      <c r="F534">
        <v>3261.05419921875</v>
      </c>
    </row>
    <row r="535" spans="1:6" x14ac:dyDescent="0.25">
      <c r="A535" s="1">
        <v>45898</v>
      </c>
      <c r="B535">
        <v>1044.39453125</v>
      </c>
      <c r="C535">
        <v>936.11712646484375</v>
      </c>
      <c r="D535">
        <v>1386.114379882812</v>
      </c>
      <c r="E535">
        <v>1416.782958984375</v>
      </c>
      <c r="F535">
        <v>3166.24951171875</v>
      </c>
    </row>
    <row r="536" spans="1:6" x14ac:dyDescent="0.25">
      <c r="A536" s="1">
        <v>45901</v>
      </c>
      <c r="B536">
        <v>1060.682006835938</v>
      </c>
      <c r="C536">
        <v>935.13336181640625</v>
      </c>
      <c r="D536">
        <v>1399.203979492188</v>
      </c>
      <c r="E536">
        <v>1445.512084960938</v>
      </c>
      <c r="F536">
        <v>3280.945068359375</v>
      </c>
    </row>
    <row r="537" spans="1:6" x14ac:dyDescent="0.25">
      <c r="A537" s="1">
        <v>45902</v>
      </c>
      <c r="B537">
        <v>1055.385986328125</v>
      </c>
      <c r="C537">
        <v>929.1326904296875</v>
      </c>
      <c r="D537">
        <v>1382.54443359375</v>
      </c>
      <c r="E537">
        <v>1444.837158203125</v>
      </c>
      <c r="F537">
        <v>3200.885986328125</v>
      </c>
    </row>
    <row r="538" spans="1:6" x14ac:dyDescent="0.25">
      <c r="A538" s="1">
        <v>45903</v>
      </c>
      <c r="B538">
        <v>1053.88720703125</v>
      </c>
      <c r="C538">
        <v>938.9207763671875</v>
      </c>
      <c r="D538">
        <v>1385.321044921875</v>
      </c>
      <c r="E538">
        <v>1425.941528320312</v>
      </c>
      <c r="F538">
        <v>3251.8505859375</v>
      </c>
    </row>
    <row r="539" spans="1:6" x14ac:dyDescent="0.25">
      <c r="A539" s="1">
        <v>45904</v>
      </c>
      <c r="B539">
        <v>1049.590576171875</v>
      </c>
      <c r="C539">
        <v>945.610107421875</v>
      </c>
      <c r="D539">
        <v>1393.75</v>
      </c>
      <c r="E539">
        <v>1410.420288085938</v>
      </c>
      <c r="F539">
        <v>3445.319091796875</v>
      </c>
    </row>
    <row r="540" spans="1:6" x14ac:dyDescent="0.25">
      <c r="A540" s="1">
        <v>45905</v>
      </c>
      <c r="B540">
        <v>1055.086303710938</v>
      </c>
      <c r="C540">
        <v>947.72515869140625</v>
      </c>
      <c r="D540">
        <v>1391.072631835938</v>
      </c>
      <c r="E540">
        <v>1392.681396484375</v>
      </c>
      <c r="F540">
        <v>3524.289794921875</v>
      </c>
    </row>
    <row r="541" spans="1:6" x14ac:dyDescent="0.25">
      <c r="A541" s="1">
        <v>45908</v>
      </c>
      <c r="B541">
        <v>1054.686645507812</v>
      </c>
      <c r="C541">
        <v>950.2828369140625</v>
      </c>
      <c r="D541">
        <v>1390.973388671875</v>
      </c>
      <c r="E541">
        <v>1381.402099609375</v>
      </c>
      <c r="F541">
        <v>3524.289794921875</v>
      </c>
    </row>
    <row r="542" spans="1:6" x14ac:dyDescent="0.25">
      <c r="A542" s="1">
        <v>45909</v>
      </c>
      <c r="B542">
        <v>1051.389038085938</v>
      </c>
      <c r="C542">
        <v>949.44671630859375</v>
      </c>
      <c r="D542">
        <v>1391.964965820312</v>
      </c>
      <c r="E542">
        <v>1450.235961914062</v>
      </c>
      <c r="F542">
        <v>3657.88671875</v>
      </c>
    </row>
    <row r="543" spans="1:6" x14ac:dyDescent="0.25">
      <c r="A543" s="1">
        <v>45910</v>
      </c>
      <c r="B543">
        <v>1069.275268554688</v>
      </c>
      <c r="C543">
        <v>950.18450927734375</v>
      </c>
      <c r="D543">
        <v>1392.163330078125</v>
      </c>
      <c r="E543">
        <v>1477.518798828125</v>
      </c>
      <c r="F543">
        <v>3566.941650390625</v>
      </c>
    </row>
    <row r="544" spans="1:6" x14ac:dyDescent="0.25">
      <c r="A544" s="1">
        <v>45911</v>
      </c>
      <c r="B544">
        <v>1086.56201171875</v>
      </c>
      <c r="C544">
        <v>952.05352783203125</v>
      </c>
      <c r="D544">
        <v>1389.882568359375</v>
      </c>
      <c r="E544">
        <v>1455.441772460938</v>
      </c>
      <c r="F544">
        <v>3558.33203125</v>
      </c>
    </row>
    <row r="545" spans="1:6" x14ac:dyDescent="0.25">
      <c r="A545" s="1">
        <v>45912</v>
      </c>
      <c r="B545">
        <v>1104.4482421875</v>
      </c>
      <c r="C545">
        <v>951.56170654296875</v>
      </c>
      <c r="D545">
        <v>1405.847900390625</v>
      </c>
      <c r="E545">
        <v>1470.770385742188</v>
      </c>
      <c r="F545">
        <v>3552.59228515625</v>
      </c>
    </row>
    <row r="546" spans="1:6" x14ac:dyDescent="0.25">
      <c r="A546" s="1">
        <v>45915</v>
      </c>
      <c r="B546">
        <v>1103.548950195312</v>
      </c>
      <c r="C546">
        <v>951.31573486328125</v>
      </c>
      <c r="D546">
        <v>1407.533813476562</v>
      </c>
      <c r="E546">
        <v>1454.188598632812</v>
      </c>
      <c r="F546">
        <v>3493.61181640625</v>
      </c>
    </row>
    <row r="547" spans="1:6" x14ac:dyDescent="0.25">
      <c r="A547" s="1">
        <v>45916</v>
      </c>
      <c r="B547">
        <v>1120.3359375</v>
      </c>
      <c r="C547">
        <v>951.1190185546875</v>
      </c>
      <c r="D547">
        <v>1409.71533203125</v>
      </c>
      <c r="E547">
        <v>1456.984497070312</v>
      </c>
      <c r="F547">
        <v>3570.50439453125</v>
      </c>
    </row>
    <row r="548" spans="1:6" x14ac:dyDescent="0.25">
      <c r="A548" s="1">
        <v>45917</v>
      </c>
      <c r="B548">
        <v>1125.13232421875</v>
      </c>
      <c r="C548">
        <v>950.77471923828125</v>
      </c>
      <c r="D548">
        <v>1407.33544921875</v>
      </c>
      <c r="E548">
        <v>1467.685546875</v>
      </c>
      <c r="F548">
        <v>3595.4423828125</v>
      </c>
    </row>
    <row r="549" spans="1:6" x14ac:dyDescent="0.25">
      <c r="A549" s="1">
        <v>45918</v>
      </c>
      <c r="B549">
        <v>1132.126831054688</v>
      </c>
      <c r="C549">
        <v>961.00555419921875</v>
      </c>
      <c r="D549">
        <v>1409.814453125</v>
      </c>
      <c r="E549">
        <v>1485.231323242188</v>
      </c>
      <c r="F549">
        <v>3604.348876953125</v>
      </c>
    </row>
    <row r="550" spans="1:6" x14ac:dyDescent="0.25">
      <c r="A550" s="1">
        <v>45919</v>
      </c>
      <c r="B550">
        <v>1135.024658203125</v>
      </c>
      <c r="C550">
        <v>951.168212890625</v>
      </c>
      <c r="D550">
        <v>1390.4775390625</v>
      </c>
      <c r="E550">
        <v>1484.845703125</v>
      </c>
      <c r="F550">
        <v>3554.769775390625</v>
      </c>
    </row>
    <row r="551" spans="1:6" x14ac:dyDescent="0.25">
      <c r="A551" s="1">
        <v>45922</v>
      </c>
      <c r="B551">
        <v>1143.51806640625</v>
      </c>
      <c r="C551">
        <v>948.51214599609375</v>
      </c>
      <c r="D551">
        <v>1389.783447265625</v>
      </c>
      <c r="E551">
        <v>1445.6083984375</v>
      </c>
      <c r="F551">
        <v>3547.54541015625</v>
      </c>
    </row>
    <row r="552" spans="1:6" x14ac:dyDescent="0.25">
      <c r="A552" s="1">
        <v>45923</v>
      </c>
      <c r="B552">
        <v>1169.897827148438</v>
      </c>
      <c r="C552">
        <v>941.62603759765625</v>
      </c>
      <c r="D552">
        <v>1382.643676757812</v>
      </c>
      <c r="E552">
        <v>1443.680297851562</v>
      </c>
      <c r="F552">
        <v>3577.035888671875</v>
      </c>
    </row>
    <row r="553" spans="1:6" x14ac:dyDescent="0.25">
      <c r="A553" s="1">
        <v>45924</v>
      </c>
      <c r="B553">
        <v>1158.006958007812</v>
      </c>
      <c r="C553">
        <v>935.57611083984375</v>
      </c>
      <c r="D553">
        <v>1371.140502929688</v>
      </c>
      <c r="E553">
        <v>1440.884521484375</v>
      </c>
      <c r="F553">
        <v>3537.748291015625</v>
      </c>
    </row>
    <row r="554" spans="1:6" x14ac:dyDescent="0.25">
      <c r="A554" s="1">
        <v>45925</v>
      </c>
      <c r="B554">
        <v>1165.700927734375</v>
      </c>
      <c r="C554">
        <v>934.39556884765625</v>
      </c>
      <c r="D554">
        <v>1364.29833984375</v>
      </c>
      <c r="E554">
        <v>1431.436767578125</v>
      </c>
      <c r="F554">
        <v>3493.31494140625</v>
      </c>
    </row>
    <row r="555" spans="1:6" x14ac:dyDescent="0.25">
      <c r="A555" s="1">
        <v>45926</v>
      </c>
      <c r="B555">
        <v>1153.110717773438</v>
      </c>
      <c r="C555">
        <v>929.6737060546875</v>
      </c>
      <c r="D555">
        <v>1348.233642578125</v>
      </c>
      <c r="E555">
        <v>1396.827026367188</v>
      </c>
      <c r="F555">
        <v>3361.202392578125</v>
      </c>
    </row>
    <row r="556" spans="1:6" x14ac:dyDescent="0.25">
      <c r="A556" s="1">
        <v>45929</v>
      </c>
      <c r="B556">
        <v>1131.327392578125</v>
      </c>
      <c r="C556">
        <v>934.8382568359375</v>
      </c>
      <c r="D556">
        <v>1336.829833984375</v>
      </c>
      <c r="E556">
        <v>1389.982177734375</v>
      </c>
      <c r="F556">
        <v>3382.577880859375</v>
      </c>
    </row>
    <row r="557" spans="1:6" x14ac:dyDescent="0.25">
      <c r="A557" s="1">
        <v>45930</v>
      </c>
      <c r="B557">
        <v>1130.727905273438</v>
      </c>
      <c r="C557">
        <v>935.52691650390625</v>
      </c>
      <c r="D557">
        <v>1336.730712890625</v>
      </c>
      <c r="E557">
        <v>1389.982177734375</v>
      </c>
      <c r="F557">
        <v>3391.38525390625</v>
      </c>
    </row>
    <row r="558" spans="1:6" x14ac:dyDescent="0.25">
      <c r="A558" s="1">
        <v>45931</v>
      </c>
      <c r="B558">
        <v>1158.6064453125</v>
      </c>
      <c r="C558">
        <v>949.5450439453125</v>
      </c>
      <c r="D558">
        <v>1360.530029296875</v>
      </c>
      <c r="E558">
        <v>1393.83837890625</v>
      </c>
      <c r="F558">
        <v>3427.406982421875</v>
      </c>
    </row>
    <row r="559" spans="1:6" x14ac:dyDescent="0.25">
      <c r="A559" s="1">
        <v>45933</v>
      </c>
      <c r="B559">
        <v>1180.08984375</v>
      </c>
      <c r="C559">
        <v>949.44671630859375</v>
      </c>
      <c r="D559">
        <v>1353.786865234375</v>
      </c>
      <c r="E559">
        <v>1394.609619140625</v>
      </c>
      <c r="F559">
        <v>3426.021728515625</v>
      </c>
    </row>
    <row r="560" spans="1:6" x14ac:dyDescent="0.25">
      <c r="A560" s="1">
        <v>45936</v>
      </c>
      <c r="B560">
        <v>1211.865478515625</v>
      </c>
      <c r="C560">
        <v>957.61163330078125</v>
      </c>
      <c r="D560">
        <v>1352.001953125</v>
      </c>
      <c r="E560">
        <v>1422.953002929688</v>
      </c>
      <c r="F560">
        <v>3435.917724609375</v>
      </c>
    </row>
    <row r="561" spans="1:6" x14ac:dyDescent="0.25">
      <c r="A561" s="1">
        <v>45937</v>
      </c>
      <c r="B561">
        <v>1185.885498046875</v>
      </c>
      <c r="C561">
        <v>966.514404296875</v>
      </c>
      <c r="D561">
        <v>1364.3974609375</v>
      </c>
      <c r="E561">
        <v>1406.081909179688</v>
      </c>
      <c r="F561">
        <v>3456.50146484375</v>
      </c>
    </row>
    <row r="562" spans="1:6" x14ac:dyDescent="0.25">
      <c r="A562" s="1">
        <v>45938</v>
      </c>
      <c r="B562">
        <v>1179.690185546875</v>
      </c>
      <c r="C562">
        <v>962.7762451171875</v>
      </c>
      <c r="D562">
        <v>1358.844360351562</v>
      </c>
      <c r="E562">
        <v>1441.270141601562</v>
      </c>
      <c r="F562">
        <v>3390.890625</v>
      </c>
    </row>
    <row r="563" spans="1:6" x14ac:dyDescent="0.25">
      <c r="A563" s="1">
        <v>45939</v>
      </c>
      <c r="B563">
        <v>1166.500366210938</v>
      </c>
      <c r="C563">
        <v>961.20220947265625</v>
      </c>
      <c r="D563">
        <v>1364.69482421875</v>
      </c>
      <c r="E563">
        <v>1455.056274414062</v>
      </c>
      <c r="F563">
        <v>3407.1201171875</v>
      </c>
    </row>
    <row r="564" spans="1:6" x14ac:dyDescent="0.25">
      <c r="A564" s="1">
        <v>45940</v>
      </c>
      <c r="B564">
        <v>1179.490356445312</v>
      </c>
      <c r="C564">
        <v>964.9404296875</v>
      </c>
      <c r="D564">
        <v>1368.7607421875</v>
      </c>
      <c r="E564">
        <v>1460.454956054688</v>
      </c>
      <c r="F564">
        <v>3418.995361328125</v>
      </c>
    </row>
    <row r="565" spans="1:6" x14ac:dyDescent="0.25">
      <c r="A565" s="1">
        <v>45943</v>
      </c>
      <c r="B565">
        <v>1188.683227539062</v>
      </c>
      <c r="C565">
        <v>961.1038818359375</v>
      </c>
      <c r="D565">
        <v>1367.8681640625</v>
      </c>
      <c r="E565">
        <v>1439.534790039062</v>
      </c>
      <c r="F565">
        <v>3423.745361328125</v>
      </c>
    </row>
    <row r="566" spans="1:6" x14ac:dyDescent="0.25">
      <c r="A566" s="1">
        <v>45944</v>
      </c>
      <c r="B566">
        <v>1175.893188476562</v>
      </c>
      <c r="C566">
        <v>961.25146484375</v>
      </c>
      <c r="D566">
        <v>1372.52880859375</v>
      </c>
      <c r="E566">
        <v>1436.353515625</v>
      </c>
      <c r="F566">
        <v>3423.844482421875</v>
      </c>
    </row>
    <row r="567" spans="1:6" x14ac:dyDescent="0.25">
      <c r="A567" s="1">
        <v>45945</v>
      </c>
      <c r="B567">
        <v>1168.698608398438</v>
      </c>
      <c r="C567">
        <v>962.33355712890625</v>
      </c>
      <c r="D567">
        <v>1386.709350585938</v>
      </c>
      <c r="E567">
        <v>1421.41064453125</v>
      </c>
      <c r="F567">
        <v>3460.855712890625</v>
      </c>
    </row>
    <row r="568" spans="1:6" x14ac:dyDescent="0.25">
      <c r="A568" s="1">
        <v>45946</v>
      </c>
      <c r="B568">
        <v>1195.378173828125</v>
      </c>
      <c r="C568">
        <v>978.17156982421875</v>
      </c>
      <c r="D568">
        <v>1405.451416015625</v>
      </c>
      <c r="E568">
        <v>1418.61474609375</v>
      </c>
      <c r="F568">
        <v>3523.794921875</v>
      </c>
    </row>
    <row r="569" spans="1:6" x14ac:dyDescent="0.25">
      <c r="A569" s="1">
        <v>45947</v>
      </c>
      <c r="B569">
        <v>1199.275024414062</v>
      </c>
      <c r="C569">
        <v>986.2381591796875</v>
      </c>
      <c r="D569">
        <v>1424.589965820312</v>
      </c>
      <c r="E569">
        <v>1389.307373046875</v>
      </c>
      <c r="F569">
        <v>3609.296875</v>
      </c>
    </row>
    <row r="570" spans="1:6" x14ac:dyDescent="0.25">
      <c r="A570" s="1">
        <v>45950</v>
      </c>
      <c r="B570">
        <v>1225.05517578125</v>
      </c>
      <c r="C570">
        <v>986.63165283203125</v>
      </c>
      <c r="D570">
        <v>1378.677124023438</v>
      </c>
      <c r="E570">
        <v>1408.395751953125</v>
      </c>
      <c r="F570">
        <v>3561.697021484375</v>
      </c>
    </row>
    <row r="571" spans="1:6" x14ac:dyDescent="0.25">
      <c r="A571" s="1">
        <v>45951</v>
      </c>
      <c r="B571">
        <v>1236.346557617188</v>
      </c>
      <c r="C571">
        <v>991.30438232421875</v>
      </c>
      <c r="D571">
        <v>1370.446411132812</v>
      </c>
      <c r="E571">
        <v>1419.482421875</v>
      </c>
      <c r="F571">
        <v>3583.567138671875</v>
      </c>
    </row>
    <row r="572" spans="1:6" x14ac:dyDescent="0.25">
      <c r="A572" s="1">
        <v>45953</v>
      </c>
      <c r="B572">
        <v>1257.829956054688</v>
      </c>
      <c r="C572">
        <v>992.386474609375</v>
      </c>
      <c r="D572">
        <v>1352.299438476562</v>
      </c>
      <c r="E572">
        <v>1473.566162109375</v>
      </c>
      <c r="F572">
        <v>3585.9423828125</v>
      </c>
    </row>
    <row r="573" spans="1:6" x14ac:dyDescent="0.25">
      <c r="A573" s="1">
        <v>45954</v>
      </c>
      <c r="B573">
        <v>1240.942993164062</v>
      </c>
      <c r="C573">
        <v>978.5650634765625</v>
      </c>
      <c r="D573">
        <v>1366.182373046875</v>
      </c>
      <c r="E573">
        <v>1470.57763671875</v>
      </c>
      <c r="F573">
        <v>3587.32763671875</v>
      </c>
    </row>
    <row r="574" spans="1:6" x14ac:dyDescent="0.25">
      <c r="A574" s="1">
        <v>45957</v>
      </c>
      <c r="B574">
        <v>1253.133544921875</v>
      </c>
      <c r="C574">
        <v>986.63165283203125</v>
      </c>
      <c r="D574">
        <v>1366.083251953125</v>
      </c>
      <c r="E574">
        <v>1472.633056640625</v>
      </c>
      <c r="F574">
        <v>3574.067138671875</v>
      </c>
    </row>
    <row r="575" spans="1:6" x14ac:dyDescent="0.25">
      <c r="A575" s="1">
        <v>45958</v>
      </c>
      <c r="B575">
        <v>1245.339599609375</v>
      </c>
      <c r="C575">
        <v>987.22186279296875</v>
      </c>
      <c r="D575">
        <v>1351.704467773438</v>
      </c>
      <c r="E575">
        <v>1468.424194335938</v>
      </c>
      <c r="F575">
        <v>3541.90478515625</v>
      </c>
    </row>
    <row r="576" spans="1:6" x14ac:dyDescent="0.25">
      <c r="A576" s="1">
        <v>45959</v>
      </c>
      <c r="B576">
        <v>1247.837646484375</v>
      </c>
      <c r="C576">
        <v>991.451904296875</v>
      </c>
      <c r="D576">
        <v>1358.943481445312</v>
      </c>
      <c r="E576">
        <v>1478.408203125</v>
      </c>
      <c r="F576">
        <v>3497.966064453125</v>
      </c>
    </row>
    <row r="577" spans="1:6" x14ac:dyDescent="0.25">
      <c r="A577" s="1">
        <v>45960</v>
      </c>
      <c r="B577">
        <v>1237.6455078125</v>
      </c>
      <c r="C577">
        <v>981.9097900390625</v>
      </c>
      <c r="D577">
        <v>1351.010375976562</v>
      </c>
      <c r="E577">
        <v>1462.159790039062</v>
      </c>
      <c r="F577">
        <v>3465.705078125</v>
      </c>
    </row>
    <row r="578" spans="1:6" x14ac:dyDescent="0.25">
      <c r="A578" s="1">
        <v>45961</v>
      </c>
      <c r="B578">
        <v>1231.849975585938</v>
      </c>
      <c r="C578">
        <v>971.23626708984375</v>
      </c>
      <c r="D578">
        <v>1334.053344726562</v>
      </c>
      <c r="E578">
        <v>1450.903442382812</v>
      </c>
      <c r="F578">
        <v>3450.959716796875</v>
      </c>
    </row>
    <row r="579" spans="1:6" x14ac:dyDescent="0.25">
      <c r="A579" s="1">
        <v>45964</v>
      </c>
      <c r="B579">
        <v>1232.749267578125</v>
      </c>
      <c r="C579">
        <v>976.499267578125</v>
      </c>
      <c r="D579">
        <v>1335.14404296875</v>
      </c>
      <c r="E579">
        <v>1454.035522460938</v>
      </c>
      <c r="F579">
        <v>3512.018310546875</v>
      </c>
    </row>
    <row r="580" spans="1:6" x14ac:dyDescent="0.25">
      <c r="A580" s="1">
        <v>45965</v>
      </c>
      <c r="B580">
        <v>1225.654663085938</v>
      </c>
      <c r="C580">
        <v>969.21966552734375</v>
      </c>
      <c r="D580">
        <v>1325.723510742188</v>
      </c>
      <c r="E580">
        <v>1436.808349609375</v>
      </c>
      <c r="F580">
        <v>3543.98291015625</v>
      </c>
    </row>
    <row r="581" spans="1:6" x14ac:dyDescent="0.25">
      <c r="A581" s="1">
        <v>45967</v>
      </c>
      <c r="B581">
        <v>1227.55322265625</v>
      </c>
      <c r="C581">
        <v>968.62945556640625</v>
      </c>
      <c r="D581">
        <v>1309.361450195312</v>
      </c>
      <c r="E581">
        <v>1435.633666992188</v>
      </c>
      <c r="F581">
        <v>3580.895263671875</v>
      </c>
    </row>
    <row r="582" spans="1:6" x14ac:dyDescent="0.25">
      <c r="A582" s="1">
        <v>45968</v>
      </c>
      <c r="B582">
        <v>1221.857666015625</v>
      </c>
      <c r="C582">
        <v>966.317626953125</v>
      </c>
      <c r="D582">
        <v>1331.7724609375</v>
      </c>
      <c r="E582">
        <v>1445.519897460938</v>
      </c>
      <c r="F582">
        <v>3651.85009765625</v>
      </c>
    </row>
    <row r="583" spans="1:6" x14ac:dyDescent="0.25">
      <c r="A583" s="1">
        <v>45971</v>
      </c>
      <c r="B583">
        <v>1216.062133789062</v>
      </c>
      <c r="C583">
        <v>968.48187255859375</v>
      </c>
      <c r="D583">
        <v>1336.730712890625</v>
      </c>
      <c r="E583">
        <v>1481.442504882812</v>
      </c>
      <c r="F583">
        <v>3625.8232421875</v>
      </c>
    </row>
    <row r="584" spans="1:6" x14ac:dyDescent="0.25">
      <c r="A584" s="1">
        <v>45972</v>
      </c>
      <c r="B584">
        <v>1221.557861328125</v>
      </c>
      <c r="C584">
        <v>975.564697265625</v>
      </c>
      <c r="D584">
        <v>1346.944580078125</v>
      </c>
      <c r="E584">
        <v>1497.88671875</v>
      </c>
      <c r="F584">
        <v>3710.13818359375</v>
      </c>
    </row>
    <row r="585" spans="1:6" x14ac:dyDescent="0.25">
      <c r="A585" s="1">
        <v>45973</v>
      </c>
      <c r="B585">
        <v>1220.658569335938</v>
      </c>
      <c r="C585">
        <v>973.4005126953125</v>
      </c>
      <c r="D585">
        <v>1347.53955078125</v>
      </c>
      <c r="E585">
        <v>1518.833374023438</v>
      </c>
      <c r="F585">
        <v>3715.283935546875</v>
      </c>
    </row>
    <row r="586" spans="1:6" x14ac:dyDescent="0.25">
      <c r="A586" s="1">
        <v>45974</v>
      </c>
      <c r="B586">
        <v>1224.255737304688</v>
      </c>
      <c r="C586">
        <v>970.596923828125</v>
      </c>
      <c r="D586">
        <v>1374.313842773438</v>
      </c>
      <c r="E586">
        <v>1509.14306640625</v>
      </c>
      <c r="F586">
        <v>3661.053466796875</v>
      </c>
    </row>
    <row r="587" spans="1:6" x14ac:dyDescent="0.25">
      <c r="A587" s="1">
        <v>45975</v>
      </c>
      <c r="B587">
        <v>1240.643188476562</v>
      </c>
      <c r="C587">
        <v>973.49884033203125</v>
      </c>
      <c r="D587">
        <v>1361.521728515625</v>
      </c>
      <c r="E587">
        <v>1470.969116210938</v>
      </c>
      <c r="F587">
        <v>3660.162841796875</v>
      </c>
    </row>
    <row r="588" spans="1:6" x14ac:dyDescent="0.25">
      <c r="A588" s="1">
        <v>45978</v>
      </c>
      <c r="B588">
        <v>1248.636962890625</v>
      </c>
      <c r="C588">
        <v>980.33575439453125</v>
      </c>
      <c r="D588">
        <v>1367.471557617188</v>
      </c>
      <c r="E588">
        <v>1475.66748046875</v>
      </c>
      <c r="F588">
        <v>3696.08544921875</v>
      </c>
    </row>
    <row r="589" spans="1:6" x14ac:dyDescent="0.25">
      <c r="A589" s="1">
        <v>45979</v>
      </c>
      <c r="B589">
        <v>1264.424926757812</v>
      </c>
      <c r="C589">
        <v>976.302490234375</v>
      </c>
      <c r="D589">
        <v>1361.918334960938</v>
      </c>
      <c r="E589">
        <v>1454.91650390625</v>
      </c>
      <c r="F589">
        <v>3656.40234375</v>
      </c>
    </row>
    <row r="590" spans="1:6" x14ac:dyDescent="0.25">
      <c r="A590" s="1">
        <v>45980</v>
      </c>
      <c r="B590">
        <v>1269.421020507812</v>
      </c>
      <c r="C590">
        <v>978.41748046875</v>
      </c>
      <c r="D590">
        <v>1371.537231445312</v>
      </c>
      <c r="E590">
        <v>1508.457885742188</v>
      </c>
      <c r="F590">
        <v>3683.814453125</v>
      </c>
    </row>
    <row r="591" spans="1:6" x14ac:dyDescent="0.25">
      <c r="A591" s="1">
        <v>45981</v>
      </c>
      <c r="B591">
        <v>1284.209594726562</v>
      </c>
      <c r="C591">
        <v>992.4356689453125</v>
      </c>
      <c r="D591">
        <v>1371.438110351562</v>
      </c>
      <c r="E591">
        <v>1503.955322265625</v>
      </c>
      <c r="F591">
        <v>3678.07470703125</v>
      </c>
    </row>
    <row r="592" spans="1:6" x14ac:dyDescent="0.25">
      <c r="A592" s="1">
        <v>45982</v>
      </c>
      <c r="B592">
        <v>1274.81689453125</v>
      </c>
      <c r="C592">
        <v>981.8114013671875</v>
      </c>
      <c r="D592">
        <v>1358.050903320312</v>
      </c>
      <c r="E592">
        <v>1512.275268554688</v>
      </c>
      <c r="F592">
        <v>3710.6328125</v>
      </c>
    </row>
    <row r="593" spans="1:6" x14ac:dyDescent="0.25">
      <c r="A593" s="1">
        <v>45985</v>
      </c>
      <c r="B593">
        <v>1268.022094726562</v>
      </c>
      <c r="C593">
        <v>982.89349365234375</v>
      </c>
      <c r="D593">
        <v>1356.960205078125</v>
      </c>
      <c r="E593">
        <v>1515.211791992188</v>
      </c>
      <c r="F593">
        <v>3652.44384765625</v>
      </c>
    </row>
    <row r="594" spans="1:6" x14ac:dyDescent="0.25">
      <c r="A594" s="1">
        <v>45986</v>
      </c>
      <c r="B594">
        <v>1265.32421875</v>
      </c>
      <c r="C594">
        <v>973.69561767578125</v>
      </c>
      <c r="D594">
        <v>1346.448852539062</v>
      </c>
      <c r="E594">
        <v>1498.180297851562</v>
      </c>
      <c r="F594">
        <v>3631.167236328125</v>
      </c>
    </row>
    <row r="595" spans="1:6" x14ac:dyDescent="0.25">
      <c r="A595" s="1">
        <v>45987</v>
      </c>
      <c r="B595">
        <v>1289.205688476562</v>
      </c>
      <c r="C595">
        <v>987.56622314453125</v>
      </c>
      <c r="D595">
        <v>1363.505004882812</v>
      </c>
      <c r="E595">
        <v>1524.902099609375</v>
      </c>
      <c r="F595">
        <v>3648.089599609375</v>
      </c>
    </row>
    <row r="596" spans="1:6" x14ac:dyDescent="0.25">
      <c r="A596" s="1">
        <v>45988</v>
      </c>
      <c r="B596">
        <v>1286.307983398438</v>
      </c>
      <c r="C596">
        <v>993.0750732421875</v>
      </c>
      <c r="D596">
        <v>1380.561157226562</v>
      </c>
      <c r="E596">
        <v>1533.222045898438</v>
      </c>
      <c r="F596">
        <v>3642.943603515625</v>
      </c>
    </row>
    <row r="597" spans="1:6" x14ac:dyDescent="0.25">
      <c r="A597" s="1">
        <v>45989</v>
      </c>
      <c r="B597">
        <v>1278.713745117188</v>
      </c>
      <c r="C597">
        <v>991.20599365234375</v>
      </c>
      <c r="D597">
        <v>1377.189697265625</v>
      </c>
      <c r="E597">
        <v>1527.055419921875</v>
      </c>
      <c r="F597">
        <v>3718.252685546875</v>
      </c>
    </row>
    <row r="598" spans="1:6" x14ac:dyDescent="0.25">
      <c r="A598" s="1">
        <v>45992</v>
      </c>
      <c r="B598">
        <v>1274.716918945312</v>
      </c>
      <c r="C598">
        <v>985.79547119140625</v>
      </c>
      <c r="D598">
        <v>1378.478759765625</v>
      </c>
      <c r="E598">
        <v>1530.872802734375</v>
      </c>
      <c r="F598">
        <v>3702.716064453125</v>
      </c>
    </row>
    <row r="599" spans="1:6" x14ac:dyDescent="0.25">
      <c r="A599" s="1">
        <v>45993</v>
      </c>
      <c r="B599">
        <v>1257.030517578125</v>
      </c>
      <c r="C599">
        <v>973.69561767578125</v>
      </c>
      <c r="D599">
        <v>1361.521728515625</v>
      </c>
      <c r="E599">
        <v>1527.936401367188</v>
      </c>
      <c r="F599">
        <v>3677.876708984375</v>
      </c>
    </row>
    <row r="600" spans="1:6" x14ac:dyDescent="0.25">
      <c r="A600" s="1">
        <v>45994</v>
      </c>
      <c r="B600">
        <v>1269.720703125</v>
      </c>
      <c r="C600">
        <v>984.22149658203125</v>
      </c>
      <c r="D600">
        <v>1379.867065429688</v>
      </c>
      <c r="E600">
        <v>1545.261474609375</v>
      </c>
      <c r="F600">
        <v>3611.473876953125</v>
      </c>
    </row>
    <row r="601" spans="1:6" x14ac:dyDescent="0.25">
      <c r="A601" s="1">
        <v>45995</v>
      </c>
      <c r="B601">
        <v>1279.013549804688</v>
      </c>
      <c r="C601">
        <v>980.9752197265625</v>
      </c>
      <c r="D601">
        <v>1375.107055664062</v>
      </c>
      <c r="E601">
        <v>1563.761108398438</v>
      </c>
      <c r="F601">
        <v>3633.443359375</v>
      </c>
    </row>
    <row r="602" spans="1:6" x14ac:dyDescent="0.25">
      <c r="A602" s="1">
        <v>45996</v>
      </c>
      <c r="B602">
        <v>1281.51171875</v>
      </c>
      <c r="C602">
        <v>986.9759521484375</v>
      </c>
      <c r="D602">
        <v>1380.858642578125</v>
      </c>
      <c r="E602">
        <v>1581.967163085938</v>
      </c>
      <c r="F602">
        <v>3678.470703125</v>
      </c>
    </row>
    <row r="603" spans="1:6" x14ac:dyDescent="0.25">
      <c r="A603" s="1">
        <v>45999</v>
      </c>
      <c r="B603">
        <v>1272.818481445312</v>
      </c>
      <c r="C603">
        <v>986.7791748046875</v>
      </c>
      <c r="D603">
        <v>1377.98291015625</v>
      </c>
      <c r="E603">
        <v>1576.681640625</v>
      </c>
      <c r="F603">
        <v>3643.4384765625</v>
      </c>
    </row>
    <row r="604" spans="1:6" x14ac:dyDescent="0.25">
      <c r="A604" s="1">
        <v>46000</v>
      </c>
      <c r="B604">
        <v>1274.916748046875</v>
      </c>
      <c r="C604">
        <v>980.8768310546875</v>
      </c>
      <c r="D604">
        <v>1363.703247070312</v>
      </c>
      <c r="E604">
        <v>1565.131469726562</v>
      </c>
      <c r="F604">
        <v>3598.1142578125</v>
      </c>
    </row>
    <row r="605" spans="1:6" x14ac:dyDescent="0.25">
      <c r="A605" s="1">
        <v>46001</v>
      </c>
      <c r="B605">
        <v>1277.614624023438</v>
      </c>
      <c r="C605">
        <v>973.69561767578125</v>
      </c>
      <c r="D605">
        <v>1352.2001953125</v>
      </c>
      <c r="E605">
        <v>1551.232299804688</v>
      </c>
      <c r="F605">
        <v>3592.275634765625</v>
      </c>
    </row>
    <row r="606" spans="1:6" x14ac:dyDescent="0.25">
      <c r="A606" s="1">
        <v>46002</v>
      </c>
      <c r="B606">
        <v>1271.719116210938</v>
      </c>
      <c r="C606">
        <v>984.0247802734375</v>
      </c>
      <c r="D606">
        <v>1348.63037109375</v>
      </c>
      <c r="E606">
        <v>1564.152709960938</v>
      </c>
      <c r="F606">
        <v>3627.10986328125</v>
      </c>
    </row>
    <row r="607" spans="1:6" x14ac:dyDescent="0.25">
      <c r="A607" s="1">
        <v>46003</v>
      </c>
      <c r="B607">
        <v>1285.10888671875</v>
      </c>
      <c r="C607">
        <v>985.20526123046875</v>
      </c>
      <c r="D607">
        <v>1354.580200195312</v>
      </c>
      <c r="E607">
        <v>1564.348388671875</v>
      </c>
      <c r="F607">
        <v>3641.3603515625</v>
      </c>
    </row>
    <row r="608" spans="1:6" x14ac:dyDescent="0.25">
      <c r="A608" s="1">
        <v>46006</v>
      </c>
      <c r="B608">
        <v>1283.809936523438</v>
      </c>
      <c r="C608">
        <v>979.89306640625</v>
      </c>
      <c r="D608">
        <v>1353.786865234375</v>
      </c>
      <c r="E608">
        <v>1572.766357421875</v>
      </c>
      <c r="F608">
        <v>3570.50439453125</v>
      </c>
    </row>
    <row r="609" spans="1:6" x14ac:dyDescent="0.25">
      <c r="A609" s="1">
        <v>46007</v>
      </c>
      <c r="B609">
        <v>1218.66015625</v>
      </c>
      <c r="C609">
        <v>978.12237548828125</v>
      </c>
      <c r="D609">
        <v>1354.580200195312</v>
      </c>
      <c r="E609">
        <v>1559.160766601562</v>
      </c>
      <c r="F609">
        <v>3583.369140625</v>
      </c>
    </row>
    <row r="610" spans="1:6" x14ac:dyDescent="0.25">
      <c r="A610" s="1">
        <v>46008</v>
      </c>
      <c r="B610">
        <v>1223.756103515625</v>
      </c>
      <c r="C610">
        <v>967.989990234375</v>
      </c>
      <c r="D610">
        <v>1341.093872070312</v>
      </c>
      <c r="E610">
        <v>1568.067993164062</v>
      </c>
      <c r="F610">
        <v>3575.25439453125</v>
      </c>
    </row>
    <row r="611" spans="1:6" x14ac:dyDescent="0.25">
      <c r="A611" s="1">
        <v>46009</v>
      </c>
      <c r="B611">
        <v>1228.852294921875</v>
      </c>
      <c r="C611">
        <v>963.75994873046875</v>
      </c>
      <c r="D611">
        <v>1345.457153320312</v>
      </c>
      <c r="E611">
        <v>1592.3427734375</v>
      </c>
      <c r="F611">
        <v>3549.326904296875</v>
      </c>
    </row>
    <row r="612" spans="1:6" x14ac:dyDescent="0.25">
      <c r="A612" s="1">
        <v>46010</v>
      </c>
      <c r="B612">
        <v>1229.651611328125</v>
      </c>
      <c r="C612">
        <v>969.465576171875</v>
      </c>
      <c r="D612">
        <v>1342.779663085938</v>
      </c>
      <c r="E612">
        <v>1603.990600585938</v>
      </c>
      <c r="F612">
        <v>3566.150146484375</v>
      </c>
    </row>
    <row r="613" spans="1:6" x14ac:dyDescent="0.25">
      <c r="A613" s="1">
        <v>46013</v>
      </c>
      <c r="B613">
        <v>1232.249633789062</v>
      </c>
      <c r="C613">
        <v>971.62982177734375</v>
      </c>
      <c r="D613">
        <v>1357.059326171875</v>
      </c>
      <c r="E613">
        <v>1653.8125</v>
      </c>
      <c r="F613">
        <v>3579.11376953125</v>
      </c>
    </row>
    <row r="614" spans="1:6" x14ac:dyDescent="0.25">
      <c r="A614" s="1">
        <v>46014</v>
      </c>
      <c r="B614">
        <v>1224.056030273438</v>
      </c>
      <c r="C614">
        <v>980.38494873046875</v>
      </c>
      <c r="D614">
        <v>1351.605224609375</v>
      </c>
      <c r="E614">
        <v>1632.963745117188</v>
      </c>
      <c r="F614">
        <v>3587.4267578125</v>
      </c>
    </row>
    <row r="615" spans="1:6" x14ac:dyDescent="0.25">
      <c r="A615" s="1">
        <v>46015</v>
      </c>
      <c r="B615">
        <v>1225.35498046875</v>
      </c>
      <c r="C615">
        <v>980.9752197265625</v>
      </c>
      <c r="D615">
        <v>1348.43212890625</v>
      </c>
      <c r="E615">
        <v>1628.16748046875</v>
      </c>
      <c r="F615">
        <v>3598.906005859375</v>
      </c>
    </row>
    <row r="616" spans="1:6" x14ac:dyDescent="0.25">
      <c r="A616" s="1">
        <v>46017</v>
      </c>
      <c r="B616">
        <v>1227.25341796875</v>
      </c>
      <c r="C616">
        <v>975.95819091796875</v>
      </c>
      <c r="D616">
        <v>1339.110595703125</v>
      </c>
      <c r="E616">
        <v>1621.022094726562</v>
      </c>
      <c r="F616">
        <v>3585.447509765625</v>
      </c>
    </row>
    <row r="617" spans="1:6" x14ac:dyDescent="0.25">
      <c r="A617" s="1">
        <v>46020</v>
      </c>
      <c r="B617">
        <v>1231.050537109375</v>
      </c>
      <c r="C617">
        <v>975.564697265625</v>
      </c>
      <c r="D617">
        <v>1332.070068359375</v>
      </c>
      <c r="E617">
        <v>1609.863525390625</v>
      </c>
      <c r="F617">
        <v>3554.769775390625</v>
      </c>
    </row>
    <row r="618" spans="1:6" x14ac:dyDescent="0.25">
      <c r="A618" s="1">
        <v>46021</v>
      </c>
      <c r="B618">
        <v>1245.039794921875</v>
      </c>
      <c r="C618">
        <v>974.77777099609375</v>
      </c>
      <c r="D618">
        <v>1331.276611328125</v>
      </c>
      <c r="E618">
        <v>1587.252807617188</v>
      </c>
      <c r="F618">
        <v>3622.260986328125</v>
      </c>
    </row>
    <row r="619" spans="1:6" x14ac:dyDescent="0.25">
      <c r="A619" s="1">
        <v>46022</v>
      </c>
      <c r="B619">
        <v>1268.421752929688</v>
      </c>
      <c r="C619">
        <v>975.0728759765625</v>
      </c>
      <c r="D619">
        <v>1331.67333984375</v>
      </c>
      <c r="E619">
        <v>1581.184204101562</v>
      </c>
      <c r="F619">
        <v>3670.652587890625</v>
      </c>
    </row>
    <row r="620" spans="1:6" x14ac:dyDescent="0.25">
      <c r="A620" s="1">
        <v>46023</v>
      </c>
      <c r="B620">
        <v>1273.41796875</v>
      </c>
      <c r="C620">
        <v>975.023681640625</v>
      </c>
      <c r="D620">
        <v>1326.814331054688</v>
      </c>
      <c r="E620">
        <v>1595.279174804688</v>
      </c>
      <c r="F620">
        <v>3721.914306640625</v>
      </c>
    </row>
    <row r="621" spans="1:6" x14ac:dyDescent="0.25">
      <c r="A621" s="1">
        <v>46024</v>
      </c>
      <c r="B621">
        <v>1265.923706054688</v>
      </c>
      <c r="C621">
        <v>985.3035888671875</v>
      </c>
      <c r="D621">
        <v>1344.06884765625</v>
      </c>
      <c r="E621">
        <v>1605.654663085938</v>
      </c>
      <c r="F621">
        <v>3762.884033203125</v>
      </c>
    </row>
    <row r="622" spans="1:6" x14ac:dyDescent="0.25">
      <c r="A622" s="1">
        <v>46027</v>
      </c>
      <c r="B622">
        <v>1284.809204101562</v>
      </c>
      <c r="C622">
        <v>961.59576416015625</v>
      </c>
      <c r="D622">
        <v>1360.0341796875</v>
      </c>
      <c r="E622">
        <v>1572.374755859375</v>
      </c>
      <c r="F622">
        <v>3750.909912109375</v>
      </c>
    </row>
    <row r="623" spans="1:6" x14ac:dyDescent="0.25">
      <c r="A623" s="1">
        <v>46028</v>
      </c>
      <c r="B623">
        <v>1292.802978515625</v>
      </c>
      <c r="C623">
        <v>946.544677734375</v>
      </c>
      <c r="D623">
        <v>1399.402221679688</v>
      </c>
      <c r="E623">
        <v>1578.051879882812</v>
      </c>
      <c r="F623">
        <v>3746.2587890625</v>
      </c>
    </row>
    <row r="624" spans="1:6" x14ac:dyDescent="0.25">
      <c r="A624" s="1">
        <v>46029</v>
      </c>
      <c r="B624">
        <v>1294.501708984375</v>
      </c>
      <c r="C624">
        <v>933.608642578125</v>
      </c>
      <c r="D624">
        <v>1415.764282226562</v>
      </c>
      <c r="E624">
        <v>1604.284301757812</v>
      </c>
      <c r="F624">
        <v>3709.841064453125</v>
      </c>
    </row>
    <row r="625" spans="1:6" x14ac:dyDescent="0.25">
      <c r="A625" s="1">
        <v>46030</v>
      </c>
      <c r="B625">
        <v>1285.808349609375</v>
      </c>
      <c r="C625">
        <v>931.296875</v>
      </c>
      <c r="D625">
        <v>1423.00341796875</v>
      </c>
      <c r="E625">
        <v>1579.128662109375</v>
      </c>
      <c r="F625">
        <v>3685.298828125</v>
      </c>
    </row>
    <row r="626" spans="1:6" x14ac:dyDescent="0.25">
      <c r="A626" s="1">
        <v>46031</v>
      </c>
      <c r="B626">
        <v>1271.019775390625</v>
      </c>
      <c r="C626">
        <v>923.72216796875</v>
      </c>
      <c r="D626">
        <v>1392.56005859375</v>
      </c>
      <c r="E626">
        <v>1579.91162109375</v>
      </c>
      <c r="F626">
        <v>3639.084228515625</v>
      </c>
    </row>
    <row r="627" spans="1:6" x14ac:dyDescent="0.25">
      <c r="A627" s="1">
        <v>46034</v>
      </c>
      <c r="B627">
        <v>1273.218017578125</v>
      </c>
      <c r="C627">
        <v>921.70550537109375</v>
      </c>
      <c r="D627">
        <v>1401.286376953125</v>
      </c>
      <c r="E627">
        <v>1562.09716796875</v>
      </c>
      <c r="F627">
        <v>3643.7353515625</v>
      </c>
    </row>
    <row r="628" spans="1:6" x14ac:dyDescent="0.25">
      <c r="A628" s="1">
        <v>46035</v>
      </c>
      <c r="B628">
        <v>1261.027465820312</v>
      </c>
      <c r="C628">
        <v>922.0989990234375</v>
      </c>
      <c r="D628">
        <v>1424.986694335938</v>
      </c>
      <c r="E628">
        <v>1565.131469726562</v>
      </c>
      <c r="F628">
        <v>3623.4482421875</v>
      </c>
    </row>
    <row r="629" spans="1:6" x14ac:dyDescent="0.25">
      <c r="A629" s="1">
        <v>46036</v>
      </c>
      <c r="B629">
        <v>1297.799194335938</v>
      </c>
      <c r="C629">
        <v>910.39263916015625</v>
      </c>
      <c r="D629">
        <v>1406.542114257812</v>
      </c>
      <c r="E629">
        <v>1565.91455078125</v>
      </c>
      <c r="F629">
        <v>3611.572998046875</v>
      </c>
    </row>
    <row r="630" spans="1:6" x14ac:dyDescent="0.25">
      <c r="A630" s="1">
        <v>46037</v>
      </c>
      <c r="B630">
        <v>1297.799194335938</v>
      </c>
      <c r="C630">
        <v>910.39263916015625</v>
      </c>
      <c r="D630">
        <v>1406.542114257812</v>
      </c>
      <c r="E630">
        <v>1565.91455078125</v>
      </c>
      <c r="F630">
        <v>3611.572998046875</v>
      </c>
    </row>
    <row r="631" spans="1:6" x14ac:dyDescent="0.25">
      <c r="A631" s="1">
        <v>46038</v>
      </c>
      <c r="B631">
        <v>1293.20263671875</v>
      </c>
      <c r="C631">
        <v>915.95068359375</v>
      </c>
      <c r="D631">
        <v>1399.005737304688</v>
      </c>
      <c r="E631">
        <v>1654.00830078125</v>
      </c>
      <c r="F631">
        <v>3620.1826171875</v>
      </c>
    </row>
    <row r="632" spans="1:6" x14ac:dyDescent="0.25">
      <c r="A632" s="1">
        <v>46041</v>
      </c>
      <c r="B632">
        <v>1306.492431640625</v>
      </c>
      <c r="C632">
        <v>912.80279541015625</v>
      </c>
      <c r="D632">
        <v>1369.05810546875</v>
      </c>
      <c r="E632">
        <v>1645.59033203125</v>
      </c>
      <c r="F632">
        <v>3619.390869140625</v>
      </c>
    </row>
    <row r="633" spans="1:6" x14ac:dyDescent="0.25">
      <c r="A633" s="1">
        <v>46042</v>
      </c>
      <c r="B633">
        <v>1292.503173828125</v>
      </c>
      <c r="C633">
        <v>916.049072265625</v>
      </c>
      <c r="D633">
        <v>1364.29833984375</v>
      </c>
      <c r="E633">
        <v>1623.762817382812</v>
      </c>
      <c r="F633">
        <v>3520.529052734375</v>
      </c>
    </row>
    <row r="634" spans="1:6" x14ac:dyDescent="0.25">
      <c r="A634" s="1">
        <v>46043</v>
      </c>
      <c r="B634">
        <v>1283.909790039062</v>
      </c>
      <c r="C634">
        <v>905.37554931640625</v>
      </c>
      <c r="D634">
        <v>1337.722290039062</v>
      </c>
      <c r="E634">
        <v>1619.358154296875</v>
      </c>
      <c r="F634">
        <v>3516.372802734375</v>
      </c>
    </row>
    <row r="635" spans="1:6" x14ac:dyDescent="0.25">
      <c r="A635" s="1">
        <v>46044</v>
      </c>
      <c r="B635">
        <v>1293.80224609375</v>
      </c>
      <c r="C635">
        <v>903.75244140625</v>
      </c>
      <c r="D635">
        <v>1334.251586914062</v>
      </c>
      <c r="E635">
        <v>1628.265380859375</v>
      </c>
      <c r="F635">
        <v>3536.560791015625</v>
      </c>
    </row>
    <row r="636" spans="1:6" x14ac:dyDescent="0.25">
      <c r="A636" s="1">
        <v>46045</v>
      </c>
      <c r="B636">
        <v>1257.030517578125</v>
      </c>
      <c r="C636">
        <v>901.1947021484375</v>
      </c>
      <c r="D636">
        <v>1332.169189453125</v>
      </c>
      <c r="E636">
        <v>1635.410766601562</v>
      </c>
      <c r="F636">
        <v>3506.57568359375</v>
      </c>
    </row>
    <row r="637" spans="1:6" x14ac:dyDescent="0.25">
      <c r="A637" s="1">
        <v>46049</v>
      </c>
      <c r="B637">
        <v>1314.786010742188</v>
      </c>
      <c r="C637">
        <v>911.32720947265625</v>
      </c>
      <c r="D637">
        <v>1350.018676757812</v>
      </c>
      <c r="E637">
        <v>1647.05859375</v>
      </c>
      <c r="F637">
        <v>3358.2333984375</v>
      </c>
    </row>
    <row r="638" spans="1:6" x14ac:dyDescent="0.25">
      <c r="A638" s="1">
        <v>46050</v>
      </c>
      <c r="B638">
        <v>1318.782958984375</v>
      </c>
      <c r="C638">
        <v>917.524658203125</v>
      </c>
      <c r="D638">
        <v>1356.265991210938</v>
      </c>
      <c r="E638">
        <v>1631.201782226562</v>
      </c>
      <c r="F638">
        <v>3413.3544921875</v>
      </c>
    </row>
    <row r="639" spans="1:6" x14ac:dyDescent="0.25">
      <c r="A639" s="1">
        <v>46051</v>
      </c>
      <c r="B639">
        <v>1362.649047851562</v>
      </c>
      <c r="C639">
        <v>920.27911376953125</v>
      </c>
      <c r="D639">
        <v>1372.033081054688</v>
      </c>
      <c r="E639">
        <v>1624.35009765625</v>
      </c>
      <c r="F639">
        <v>3349.22802734375</v>
      </c>
    </row>
    <row r="640" spans="1:6" x14ac:dyDescent="0.25">
      <c r="A640" s="1">
        <v>46052</v>
      </c>
      <c r="B640">
        <v>1369.343994140625</v>
      </c>
      <c r="C640">
        <v>914.13079833984375</v>
      </c>
      <c r="D640">
        <v>1343.672119140625</v>
      </c>
      <c r="E640">
        <v>1606.241943359375</v>
      </c>
      <c r="F640">
        <v>3396.135498046875</v>
      </c>
    </row>
    <row r="641" spans="1:6" x14ac:dyDescent="0.25">
      <c r="A641" s="1">
        <v>46055</v>
      </c>
      <c r="B641">
        <v>1310.489379882812</v>
      </c>
      <c r="C641">
        <v>912.99945068359375</v>
      </c>
      <c r="D641">
        <v>1341.490600585938</v>
      </c>
      <c r="E641">
        <v>1594.887573242188</v>
      </c>
      <c r="F641">
        <v>3427.208984375</v>
      </c>
    </row>
    <row r="642" spans="1:6" x14ac:dyDescent="0.25">
      <c r="A642" s="1">
        <v>46056</v>
      </c>
      <c r="B642">
        <v>1355.15478515625</v>
      </c>
      <c r="C642">
        <v>933.26434326171875</v>
      </c>
      <c r="D642">
        <v>1378.08203125</v>
      </c>
      <c r="E642">
        <v>1620.924194335938</v>
      </c>
      <c r="F642">
        <v>3491.236572265625</v>
      </c>
    </row>
    <row r="643" spans="1:6" x14ac:dyDescent="0.25">
      <c r="A643" s="1">
        <v>46057</v>
      </c>
      <c r="B643">
        <v>1337.668334960938</v>
      </c>
      <c r="C643">
        <v>937.59271240234375</v>
      </c>
      <c r="D643">
        <v>1396.625732421875</v>
      </c>
      <c r="E643">
        <v>1503.270141601562</v>
      </c>
      <c r="F643">
        <v>3536.857666015625</v>
      </c>
    </row>
    <row r="644" spans="1:6" x14ac:dyDescent="0.25">
      <c r="A644" s="1">
        <v>46058</v>
      </c>
      <c r="B644">
        <v>1329.574584960938</v>
      </c>
      <c r="C644">
        <v>934.248046875</v>
      </c>
      <c r="D644">
        <v>1384.8251953125</v>
      </c>
      <c r="E644">
        <v>1488.00048828125</v>
      </c>
      <c r="F644">
        <v>3534.87841796875</v>
      </c>
    </row>
    <row r="645" spans="1:6" x14ac:dyDescent="0.25">
      <c r="A645" s="1">
        <v>46059</v>
      </c>
      <c r="B645">
        <v>1340.566040039062</v>
      </c>
      <c r="C645">
        <v>925.7879638671875</v>
      </c>
      <c r="D645">
        <v>1394.344970703125</v>
      </c>
      <c r="E645">
        <v>1475.177978515625</v>
      </c>
      <c r="F645">
        <v>3540.816162109375</v>
      </c>
    </row>
    <row r="646" spans="1:6" x14ac:dyDescent="0.25">
      <c r="A646" s="1">
        <v>46062</v>
      </c>
      <c r="B646">
        <v>1340.366333007812</v>
      </c>
      <c r="C646">
        <v>922.0006103515625</v>
      </c>
      <c r="D646">
        <v>1384.626953125</v>
      </c>
      <c r="E646">
        <v>1465.487670898438</v>
      </c>
      <c r="F646">
        <v>3572.087890625</v>
      </c>
    </row>
    <row r="647" spans="1:6" x14ac:dyDescent="0.25">
      <c r="A647" s="1">
        <v>46063</v>
      </c>
      <c r="B647">
        <v>1355.654418945312</v>
      </c>
      <c r="C647">
        <v>917.22955322265625</v>
      </c>
      <c r="D647">
        <v>1394.741577148438</v>
      </c>
      <c r="E647">
        <v>1466.075073242188</v>
      </c>
      <c r="F647">
        <v>3637.599853515625</v>
      </c>
    </row>
    <row r="648" spans="1:6" x14ac:dyDescent="0.25">
      <c r="A648" s="1">
        <v>46064</v>
      </c>
      <c r="B648">
        <v>1346.261840820312</v>
      </c>
      <c r="C648">
        <v>912.0157470703125</v>
      </c>
      <c r="D648">
        <v>1394.344970703125</v>
      </c>
      <c r="E648">
        <v>1440.7236328125</v>
      </c>
      <c r="F648">
        <v>3636.708984375</v>
      </c>
    </row>
    <row r="649" spans="1:6" x14ac:dyDescent="0.25">
      <c r="A649" s="1">
        <v>46065</v>
      </c>
      <c r="B649">
        <v>1338.967407226562</v>
      </c>
      <c r="C649">
        <v>905.62152099609375</v>
      </c>
      <c r="D649">
        <v>1418.045166015625</v>
      </c>
      <c r="E649">
        <v>1356.64306640625</v>
      </c>
      <c r="F649">
        <v>3555.75927734375</v>
      </c>
    </row>
    <row r="650" spans="1:6" x14ac:dyDescent="0.25">
      <c r="A650" s="1">
        <v>46066</v>
      </c>
      <c r="B650">
        <v>1331.273315429688</v>
      </c>
      <c r="C650">
        <v>889.1932373046875</v>
      </c>
      <c r="D650">
        <v>1402.77392578125</v>
      </c>
      <c r="E650">
        <v>1340.100952148438</v>
      </c>
      <c r="F650">
        <v>3496.679443359375</v>
      </c>
    </row>
    <row r="651" spans="1:6" x14ac:dyDescent="0.25">
      <c r="A651" s="1">
        <v>46069</v>
      </c>
      <c r="B651">
        <v>1357.253295898438</v>
      </c>
      <c r="C651">
        <v>910.73687744140625</v>
      </c>
      <c r="D651">
        <v>1399.798950195312</v>
      </c>
      <c r="E651">
        <v>1336.675170898438</v>
      </c>
      <c r="F651">
        <v>3473.225830078125</v>
      </c>
    </row>
    <row r="652" spans="1:6" x14ac:dyDescent="0.25">
      <c r="A652" s="1">
        <v>46070</v>
      </c>
      <c r="B652">
        <v>1356.154052734375</v>
      </c>
      <c r="C652">
        <v>910.6385498046875</v>
      </c>
      <c r="D652">
        <v>1395.733276367188</v>
      </c>
      <c r="E652">
        <v>1361.73291015625</v>
      </c>
      <c r="F652">
        <v>3452.93896484375</v>
      </c>
    </row>
    <row r="653" spans="1:6" x14ac:dyDescent="0.25">
      <c r="A653" s="1">
        <v>46071</v>
      </c>
      <c r="B653">
        <v>1375.938842773438</v>
      </c>
      <c r="C653">
        <v>909.65484619140625</v>
      </c>
      <c r="D653">
        <v>1396.427368164062</v>
      </c>
      <c r="E653">
        <v>1344.603515625</v>
      </c>
      <c r="F653">
        <v>3493.809814453125</v>
      </c>
    </row>
    <row r="654" spans="1:6" x14ac:dyDescent="0.25">
      <c r="A654" s="1">
        <v>46072</v>
      </c>
      <c r="B654">
        <v>1355.554565429688</v>
      </c>
      <c r="C654">
        <v>900.702880859375</v>
      </c>
      <c r="D654">
        <v>1377.189697265625</v>
      </c>
      <c r="E654">
        <v>1341.471435546875</v>
      </c>
      <c r="F654">
        <v>3396.135498046875</v>
      </c>
    </row>
    <row r="655" spans="1:6" x14ac:dyDescent="0.25">
      <c r="A655" s="1">
        <v>46073</v>
      </c>
      <c r="B655">
        <v>1367.24560546875</v>
      </c>
      <c r="C655">
        <v>897.01385498046875</v>
      </c>
      <c r="D655">
        <v>1382.841918945312</v>
      </c>
      <c r="E655">
        <v>1324.537719726562</v>
      </c>
      <c r="F655">
        <v>3377.3330078125</v>
      </c>
    </row>
    <row r="656" spans="1:6" x14ac:dyDescent="0.25">
      <c r="A656" s="1">
        <v>46076</v>
      </c>
      <c r="B656">
        <v>1385.63134765625</v>
      </c>
      <c r="C656">
        <v>908.57269287109375</v>
      </c>
      <c r="D656">
        <v>1387.701049804688</v>
      </c>
      <c r="E656">
        <v>1299.382202148438</v>
      </c>
      <c r="F656">
        <v>3411.276611328125</v>
      </c>
    </row>
    <row r="657" spans="1:6" x14ac:dyDescent="0.25">
      <c r="A657" s="1">
        <v>46077</v>
      </c>
      <c r="B657">
        <v>1386.530639648438</v>
      </c>
      <c r="C657">
        <v>895.68585205078125</v>
      </c>
      <c r="D657">
        <v>1373.223022460938</v>
      </c>
      <c r="E657">
        <v>1248.483520507812</v>
      </c>
      <c r="F657">
        <v>3397.52099609375</v>
      </c>
    </row>
    <row r="658" spans="1:6" x14ac:dyDescent="0.25">
      <c r="A658" s="1">
        <v>46078</v>
      </c>
      <c r="B658">
        <v>1401.918823242188</v>
      </c>
      <c r="C658">
        <v>892.8330078125</v>
      </c>
      <c r="D658">
        <v>1388.791748046875</v>
      </c>
      <c r="E658">
        <v>1262.774291992188</v>
      </c>
      <c r="F658">
        <v>3455.01708984375</v>
      </c>
    </row>
    <row r="659" spans="1:6" x14ac:dyDescent="0.25">
      <c r="A659" s="1">
        <v>46079</v>
      </c>
      <c r="B659">
        <v>1394.424560546875</v>
      </c>
      <c r="C659">
        <v>883.97943115234375</v>
      </c>
      <c r="D659">
        <v>1393.155029296875</v>
      </c>
      <c r="E659">
        <v>1261.795532226562</v>
      </c>
      <c r="F659">
        <v>3448.386962890625</v>
      </c>
    </row>
    <row r="660" spans="1:6" x14ac:dyDescent="0.25">
      <c r="A660" s="1">
        <v>46080</v>
      </c>
      <c r="B660">
        <v>1382.83349609375</v>
      </c>
      <c r="C660">
        <v>873.3060302734375</v>
      </c>
      <c r="D660">
        <v>1367.372436523438</v>
      </c>
      <c r="E660">
        <v>1272.5625</v>
      </c>
      <c r="F660">
        <v>3362.0927734375</v>
      </c>
    </row>
    <row r="661" spans="1:6" x14ac:dyDescent="0.25">
      <c r="A661" s="1">
        <v>46083</v>
      </c>
      <c r="B661">
        <v>1371.242553710938</v>
      </c>
      <c r="C661">
        <v>865.09185791015625</v>
      </c>
      <c r="D661">
        <v>1362.513305664062</v>
      </c>
      <c r="E661">
        <v>1261.599731445312</v>
      </c>
      <c r="F661">
        <v>3299.648681640625</v>
      </c>
    </row>
    <row r="662" spans="1:6" x14ac:dyDescent="0.25">
      <c r="A662" s="1">
        <v>46085</v>
      </c>
      <c r="B662">
        <v>1350.258666992188</v>
      </c>
      <c r="C662">
        <v>854.51678466796875</v>
      </c>
      <c r="D662">
        <v>1353.985229492188</v>
      </c>
      <c r="E662">
        <v>1279.707885742188</v>
      </c>
      <c r="F662">
        <v>3230.376220703125</v>
      </c>
    </row>
    <row r="663" spans="1:6" x14ac:dyDescent="0.25">
      <c r="A663" s="1">
        <v>46086</v>
      </c>
      <c r="B663">
        <v>1348.060302734375</v>
      </c>
      <c r="C663">
        <v>863.46868896484375</v>
      </c>
      <c r="D663">
        <v>1346.250366210938</v>
      </c>
      <c r="E663">
        <v>1278.141845703125</v>
      </c>
      <c r="F663">
        <v>3313.206298828125</v>
      </c>
    </row>
    <row r="664" spans="1:6" x14ac:dyDescent="0.25">
      <c r="A664" s="1">
        <v>46087</v>
      </c>
      <c r="B664">
        <v>1314.786010742188</v>
      </c>
      <c r="C664">
        <v>843.10546875</v>
      </c>
      <c r="D664">
        <v>1302.419921875</v>
      </c>
      <c r="E664">
        <v>1280.686767578125</v>
      </c>
      <c r="F664">
        <v>3297.867431640625</v>
      </c>
    </row>
    <row r="665" spans="1:6" x14ac:dyDescent="0.25">
      <c r="A665" s="1">
        <v>46090</v>
      </c>
      <c r="B665">
        <v>1287.307250976562</v>
      </c>
      <c r="C665">
        <v>827.02154541015625</v>
      </c>
      <c r="D665">
        <v>1267.712524414062</v>
      </c>
      <c r="E665">
        <v>1287.14697265625</v>
      </c>
      <c r="F665">
        <v>3154.473388671875</v>
      </c>
    </row>
    <row r="666" spans="1:6" x14ac:dyDescent="0.25">
      <c r="A666" s="1">
        <v>46091</v>
      </c>
      <c r="B666">
        <v>1313.686767578125</v>
      </c>
      <c r="C666">
        <v>835.629150390625</v>
      </c>
      <c r="D666">
        <v>1300.932495117188</v>
      </c>
      <c r="E666">
        <v>1268.157836914062</v>
      </c>
      <c r="F666">
        <v>3259.470703125</v>
      </c>
    </row>
    <row r="667" spans="1:6" x14ac:dyDescent="0.25">
      <c r="A667" s="1">
        <v>46092</v>
      </c>
      <c r="B667">
        <v>1254.832275390625</v>
      </c>
      <c r="C667">
        <v>820.38134765625</v>
      </c>
      <c r="D667">
        <v>1283.777099609375</v>
      </c>
      <c r="E667">
        <v>1249.266723632812</v>
      </c>
      <c r="F667">
        <v>3135.27490234375</v>
      </c>
    </row>
    <row r="668" spans="1:6" x14ac:dyDescent="0.25">
      <c r="A668" s="1">
        <v>46093</v>
      </c>
      <c r="B668">
        <v>1233.548706054688</v>
      </c>
      <c r="C668">
        <v>819.20086669921875</v>
      </c>
      <c r="D668">
        <v>1255.911987304688</v>
      </c>
      <c r="E668">
        <v>1238.989135742188</v>
      </c>
      <c r="F668">
        <v>2999.698486328125</v>
      </c>
    </row>
    <row r="669" spans="1:6" x14ac:dyDescent="0.25">
      <c r="A669" s="1">
        <v>46094</v>
      </c>
      <c r="B669">
        <v>1196.377319335938</v>
      </c>
      <c r="C669">
        <v>803.7071533203125</v>
      </c>
      <c r="D669">
        <v>1244.309936523438</v>
      </c>
      <c r="E669">
        <v>1221.859741210938</v>
      </c>
      <c r="F669">
        <v>2900.638916015625</v>
      </c>
    </row>
    <row r="670" spans="1:6" x14ac:dyDescent="0.25">
      <c r="A670" s="1">
        <v>46097</v>
      </c>
      <c r="B670">
        <v>1213.763916015625</v>
      </c>
      <c r="C670">
        <v>826.92315673828125</v>
      </c>
      <c r="D670">
        <v>1262.258544921875</v>
      </c>
      <c r="E670">
        <v>1223.328002929688</v>
      </c>
      <c r="F670">
        <v>3004.5478515625</v>
      </c>
    </row>
    <row r="671" spans="1:6" x14ac:dyDescent="0.25">
      <c r="A671" s="1">
        <v>46098</v>
      </c>
      <c r="B671">
        <v>1227.153564453125</v>
      </c>
      <c r="C671">
        <v>831.5958251953125</v>
      </c>
      <c r="D671">
        <v>1277.926391601562</v>
      </c>
      <c r="E671">
        <v>1206.785888671875</v>
      </c>
      <c r="F671">
        <v>3096.38330078125</v>
      </c>
    </row>
    <row r="672" spans="1:6" x14ac:dyDescent="0.25">
      <c r="A672" s="1">
        <v>46099</v>
      </c>
      <c r="B672">
        <v>1252.234252929688</v>
      </c>
      <c r="C672">
        <v>829.333251953125</v>
      </c>
      <c r="D672">
        <v>1278.521484375</v>
      </c>
      <c r="E672">
        <v>1240.261474609375</v>
      </c>
      <c r="F672">
        <v>3181.19287109375</v>
      </c>
    </row>
    <row r="673" spans="1:6" x14ac:dyDescent="0.25">
      <c r="A673" s="1">
        <v>46100</v>
      </c>
      <c r="B673">
        <v>1206.06982421875</v>
      </c>
      <c r="C673">
        <v>785.2130126953125</v>
      </c>
      <c r="D673">
        <v>1239.649047851562</v>
      </c>
      <c r="E673">
        <v>1194.942260742188</v>
      </c>
      <c r="F673">
        <v>3013.7509765625</v>
      </c>
    </row>
    <row r="674" spans="1:6" x14ac:dyDescent="0.25">
      <c r="A674" s="1">
        <v>46101</v>
      </c>
      <c r="B674">
        <v>1202.972290039062</v>
      </c>
      <c r="C674">
        <v>767.7518310546875</v>
      </c>
      <c r="D674">
        <v>1234.988403320312</v>
      </c>
      <c r="E674">
        <v>1229.298706054688</v>
      </c>
      <c r="F674">
        <v>3034.236083984375</v>
      </c>
    </row>
    <row r="675" spans="1:6" x14ac:dyDescent="0.25">
      <c r="A675" s="1">
        <v>46104</v>
      </c>
      <c r="B675">
        <v>1169.697875976562</v>
      </c>
      <c r="C675">
        <v>732.04248046875</v>
      </c>
      <c r="D675">
        <v>1212.478149414062</v>
      </c>
      <c r="E675">
        <v>1230.1796875</v>
      </c>
      <c r="F675">
        <v>2925.082275390625</v>
      </c>
    </row>
    <row r="676" spans="1:6" x14ac:dyDescent="0.25">
      <c r="A676" s="1">
        <v>46105</v>
      </c>
      <c r="B676">
        <v>1191.78076171875</v>
      </c>
      <c r="C676">
        <v>752.454833984375</v>
      </c>
      <c r="D676">
        <v>1240.739868164062</v>
      </c>
      <c r="E676">
        <v>1251.224365234375</v>
      </c>
      <c r="F676">
        <v>2999.797607421875</v>
      </c>
    </row>
    <row r="677" spans="1:6" x14ac:dyDescent="0.25">
      <c r="A677" s="1">
        <v>46106</v>
      </c>
      <c r="B677">
        <v>1221.158203125</v>
      </c>
      <c r="C677">
        <v>769.57171630859375</v>
      </c>
      <c r="D677">
        <v>1249.168823242188</v>
      </c>
      <c r="E677">
        <v>1252.00732421875</v>
      </c>
      <c r="F677">
        <v>3095.591796875</v>
      </c>
    </row>
    <row r="678" spans="1:6" x14ac:dyDescent="0.25">
      <c r="A678" s="1">
        <v>46108</v>
      </c>
      <c r="B678">
        <v>1204.271240234375</v>
      </c>
      <c r="C678">
        <v>743.8963623046875</v>
      </c>
      <c r="D678">
        <v>1223.485473632812</v>
      </c>
      <c r="E678">
        <v>1242.806396484375</v>
      </c>
      <c r="F678">
        <v>3009.69384765625</v>
      </c>
    </row>
    <row r="679" spans="1:6" x14ac:dyDescent="0.25">
      <c r="A679" s="1">
        <v>46111</v>
      </c>
      <c r="B679">
        <v>1160.405151367188</v>
      </c>
      <c r="C679">
        <v>719.64739990234375</v>
      </c>
      <c r="D679">
        <v>1195.818725585938</v>
      </c>
      <c r="E679">
        <v>1224.110961914062</v>
      </c>
      <c r="F679">
        <v>2923.99365234375</v>
      </c>
    </row>
    <row r="680" spans="1:6" x14ac:dyDescent="0.25">
      <c r="A680" s="1">
        <v>46113</v>
      </c>
      <c r="B680">
        <v>1192.180541992188</v>
      </c>
      <c r="C680">
        <v>730.17333984375</v>
      </c>
      <c r="D680">
        <v>1202.561767578125</v>
      </c>
      <c r="E680">
        <v>1248.679321289062</v>
      </c>
      <c r="F680">
        <v>2999.99560546875</v>
      </c>
    </row>
    <row r="681" spans="1:6" x14ac:dyDescent="0.25">
      <c r="A681" s="1">
        <v>46114</v>
      </c>
      <c r="B681">
        <v>1196.976928710938</v>
      </c>
      <c r="C681">
        <v>738.6826171875</v>
      </c>
      <c r="D681">
        <v>1205.635986328125</v>
      </c>
      <c r="E681">
        <v>1273.247802734375</v>
      </c>
      <c r="F681">
        <v>2980.4013671875</v>
      </c>
    </row>
    <row r="682" spans="1:6" x14ac:dyDescent="0.25">
      <c r="A682" s="1">
        <v>46118</v>
      </c>
      <c r="B682">
        <v>1244.34033203125</v>
      </c>
      <c r="C682">
        <v>758.45556640625</v>
      </c>
      <c r="D682">
        <v>1221.10546875</v>
      </c>
      <c r="E682">
        <v>1278.533325195312</v>
      </c>
      <c r="F682">
        <v>2990.198486328125</v>
      </c>
    </row>
    <row r="683" spans="1:6" x14ac:dyDescent="0.25">
      <c r="A683" s="1">
        <v>46119</v>
      </c>
      <c r="B683">
        <v>1249.136596679688</v>
      </c>
      <c r="C683">
        <v>759.43927001953125</v>
      </c>
      <c r="D683">
        <v>1235.087524414062</v>
      </c>
      <c r="E683">
        <v>1311.030151367188</v>
      </c>
      <c r="F683">
        <v>2975.3544921875</v>
      </c>
    </row>
    <row r="684" spans="1:6" x14ac:dyDescent="0.25">
      <c r="A684" s="1">
        <v>46120</v>
      </c>
      <c r="B684">
        <v>1331.972778320312</v>
      </c>
      <c r="C684">
        <v>802.82177734375</v>
      </c>
      <c r="D684">
        <v>1298.255004882812</v>
      </c>
      <c r="E684">
        <v>1317.68603515625</v>
      </c>
      <c r="F684">
        <v>3176.739501953125</v>
      </c>
    </row>
    <row r="685" spans="1:6" x14ac:dyDescent="0.25">
      <c r="A685" s="1">
        <v>46121</v>
      </c>
      <c r="B685">
        <v>1317.48388671875</v>
      </c>
      <c r="C685">
        <v>784.72119140625</v>
      </c>
      <c r="D685">
        <v>1270.58837890625</v>
      </c>
      <c r="E685">
        <v>1303.395263671875</v>
      </c>
      <c r="F685">
        <v>3133.889404296875</v>
      </c>
    </row>
    <row r="686" spans="1:6" x14ac:dyDescent="0.25">
      <c r="A686" s="1">
        <v>46122</v>
      </c>
      <c r="B686">
        <v>1349.759033203125</v>
      </c>
      <c r="C686">
        <v>797.11614990234375</v>
      </c>
      <c r="D686">
        <v>1310.848876953125</v>
      </c>
      <c r="E686">
        <v>1265.12353515625</v>
      </c>
      <c r="F686">
        <v>3225.923095703125</v>
      </c>
    </row>
    <row r="687" spans="1:6" x14ac:dyDescent="0.25">
      <c r="A687" s="1">
        <v>46125</v>
      </c>
      <c r="B687">
        <v>1352.556884765625</v>
      </c>
      <c r="C687">
        <v>781.76995849609375</v>
      </c>
      <c r="D687">
        <v>1339.8046875</v>
      </c>
      <c r="E687">
        <v>1249.756103515625</v>
      </c>
      <c r="F687">
        <v>3186.734375</v>
      </c>
    </row>
    <row r="688" spans="1:6" x14ac:dyDescent="0.25">
      <c r="A688" s="1">
        <v>46127</v>
      </c>
      <c r="B688">
        <v>1354.455444335938</v>
      </c>
      <c r="C688">
        <v>796.72265625</v>
      </c>
      <c r="D688">
        <v>1336.829833984375</v>
      </c>
      <c r="E688">
        <v>1277.652465820312</v>
      </c>
      <c r="F688">
        <v>3222.6572265625</v>
      </c>
    </row>
    <row r="689" spans="1:6" x14ac:dyDescent="0.25">
      <c r="A689" s="1">
        <v>46128</v>
      </c>
      <c r="B689">
        <v>1348.559936523438</v>
      </c>
      <c r="C689">
        <v>782.50775146484375</v>
      </c>
      <c r="D689">
        <v>1334.251586914062</v>
      </c>
      <c r="E689">
        <v>1291.257934570312</v>
      </c>
      <c r="F689">
        <v>3188.812744140625</v>
      </c>
    </row>
    <row r="690" spans="1:6" x14ac:dyDescent="0.25">
      <c r="A690" s="1">
        <v>46129</v>
      </c>
      <c r="B690">
        <v>1358.052612304688</v>
      </c>
      <c r="C690">
        <v>786.8853759765625</v>
      </c>
      <c r="D690">
        <v>1335.540771484375</v>
      </c>
      <c r="E690">
        <v>1290.7685546875</v>
      </c>
      <c r="F690">
        <v>3166.9423828125</v>
      </c>
    </row>
    <row r="691" spans="1:6" x14ac:dyDescent="0.25">
      <c r="A691" s="1">
        <v>46132</v>
      </c>
      <c r="B691">
        <v>1353.656005859375</v>
      </c>
      <c r="C691">
        <v>782.50775146484375</v>
      </c>
      <c r="D691">
        <v>1344.862060546875</v>
      </c>
      <c r="E691">
        <v>1284.797729492188</v>
      </c>
      <c r="F691">
        <v>3188.1201171875</v>
      </c>
    </row>
    <row r="692" spans="1:6" x14ac:dyDescent="0.25">
      <c r="A692" s="1">
        <v>46133</v>
      </c>
      <c r="B692">
        <v>1376.638305664062</v>
      </c>
      <c r="C692">
        <v>798.54254150390625</v>
      </c>
      <c r="D692">
        <v>1376.79296875</v>
      </c>
      <c r="E692">
        <v>1285.385009765625</v>
      </c>
      <c r="F692">
        <v>3213.552978515625</v>
      </c>
    </row>
    <row r="693" spans="1:6" x14ac:dyDescent="0.25">
      <c r="A693" s="1">
        <v>46134</v>
      </c>
      <c r="B693">
        <v>1378.536865234375</v>
      </c>
      <c r="C693">
        <v>786.8853759765625</v>
      </c>
      <c r="D693">
        <v>1356.166748046875</v>
      </c>
      <c r="E693">
        <v>1241.729736328125</v>
      </c>
      <c r="F693">
        <v>3116.967041015625</v>
      </c>
    </row>
    <row r="694" spans="1:6" x14ac:dyDescent="0.25">
      <c r="A694" s="1">
        <v>46135</v>
      </c>
      <c r="B694">
        <v>1368.544555664062</v>
      </c>
      <c r="C694">
        <v>771.58831787109375</v>
      </c>
      <c r="D694">
        <v>1336.730712890625</v>
      </c>
      <c r="E694">
        <v>1214.32275390625</v>
      </c>
      <c r="F694">
        <v>3016.027099609375</v>
      </c>
    </row>
    <row r="695" spans="1:6" x14ac:dyDescent="0.25">
      <c r="A695" s="1">
        <v>46136</v>
      </c>
      <c r="B695">
        <v>1364.847412109375</v>
      </c>
      <c r="C695">
        <v>772.0802001953125</v>
      </c>
      <c r="D695">
        <v>1315.112915039062</v>
      </c>
      <c r="E695">
        <v>1130.144287109375</v>
      </c>
      <c r="F695">
        <v>3006.82373046875</v>
      </c>
    </row>
    <row r="696" spans="1:6" x14ac:dyDescent="0.25">
      <c r="A696" s="1">
        <v>46139</v>
      </c>
      <c r="B696">
        <v>1323.179443359375</v>
      </c>
      <c r="C696">
        <v>776.94964599609375</v>
      </c>
      <c r="D696">
        <v>1303.114013671875</v>
      </c>
      <c r="E696">
        <v>1145.511840820312</v>
      </c>
      <c r="F696">
        <v>3070.15869140625</v>
      </c>
    </row>
    <row r="697" spans="1:6" x14ac:dyDescent="0.25">
      <c r="A697" s="1">
        <v>46140</v>
      </c>
      <c r="B697">
        <v>1288.006713867188</v>
      </c>
      <c r="C697">
        <v>769.817626953125</v>
      </c>
      <c r="D697">
        <v>1281.198852539062</v>
      </c>
      <c r="E697">
        <v>1127.697265625</v>
      </c>
      <c r="F697">
        <v>3056.00732421875</v>
      </c>
    </row>
    <row r="698" spans="1:6" x14ac:dyDescent="0.25">
      <c r="A698" s="1">
        <v>46141</v>
      </c>
      <c r="B698">
        <v>1295.401000976562</v>
      </c>
      <c r="C698">
        <v>766.32537841796875</v>
      </c>
      <c r="D698">
        <v>1270.290771484375</v>
      </c>
      <c r="E698">
        <v>1142.771118164062</v>
      </c>
      <c r="F698">
        <v>3119.540283203125</v>
      </c>
    </row>
    <row r="699" spans="1:6" x14ac:dyDescent="0.25">
      <c r="A699" s="1">
        <v>46142</v>
      </c>
      <c r="B699">
        <v>1267.322631835938</v>
      </c>
      <c r="C699">
        <v>759.1441650390625</v>
      </c>
      <c r="D699">
        <v>1252.838012695312</v>
      </c>
      <c r="E699">
        <v>1156.768310546875</v>
      </c>
      <c r="F699">
        <v>3065.3095703125</v>
      </c>
    </row>
    <row r="700" spans="1:6" x14ac:dyDescent="0.25">
      <c r="A700" s="1">
        <v>46143</v>
      </c>
      <c r="B700">
        <v>1267.322631835938</v>
      </c>
      <c r="C700">
        <v>759.1441650390625</v>
      </c>
      <c r="D700">
        <v>1252.838012695312</v>
      </c>
      <c r="E700">
        <v>1156.768310546875</v>
      </c>
      <c r="F700">
        <v>3065.3095703125</v>
      </c>
    </row>
    <row r="701" spans="1:6" x14ac:dyDescent="0.25">
      <c r="A701" s="1">
        <v>46146</v>
      </c>
      <c r="B701">
        <v>1274.117309570312</v>
      </c>
      <c r="C701">
        <v>766.71893310546875</v>
      </c>
      <c r="D701">
        <v>1260.176147460938</v>
      </c>
      <c r="E701">
        <v>1143.652099609375</v>
      </c>
      <c r="F701">
        <v>3074.216064453125</v>
      </c>
    </row>
    <row r="702" spans="1:6" x14ac:dyDescent="0.25">
      <c r="A702" s="1">
        <v>46147</v>
      </c>
      <c r="B702">
        <v>1258.729248046875</v>
      </c>
      <c r="C702">
        <v>759.734375</v>
      </c>
      <c r="D702">
        <v>1240.839111328125</v>
      </c>
      <c r="E702">
        <v>1153.146606445312</v>
      </c>
      <c r="F702">
        <v>3177.43212890625</v>
      </c>
    </row>
    <row r="703" spans="1:6" x14ac:dyDescent="0.25">
      <c r="A703" s="1">
        <v>46148</v>
      </c>
      <c r="B703">
        <v>1293.20263671875</v>
      </c>
      <c r="C703">
        <v>783.58984375</v>
      </c>
      <c r="D703">
        <v>1268.803344726562</v>
      </c>
      <c r="E703">
        <v>1142.477416992188</v>
      </c>
      <c r="F703">
        <v>3266.496826171875</v>
      </c>
    </row>
    <row r="704" spans="1:6" x14ac:dyDescent="0.25">
      <c r="A704" s="1">
        <v>46149</v>
      </c>
      <c r="B704">
        <v>1291.703735351562</v>
      </c>
      <c r="C704">
        <v>783.09796142578125</v>
      </c>
      <c r="D704">
        <v>1268.307495117188</v>
      </c>
      <c r="E704">
        <v>1138.07275390625</v>
      </c>
      <c r="F704">
        <v>3335.67041015625</v>
      </c>
    </row>
    <row r="705" spans="1:6" x14ac:dyDescent="0.25">
      <c r="A705" s="1">
        <v>46150</v>
      </c>
      <c r="B705">
        <v>1267.322631835938</v>
      </c>
      <c r="C705">
        <v>768.145263671875</v>
      </c>
      <c r="D705">
        <v>1254.226318359375</v>
      </c>
      <c r="E705">
        <v>1154.223266601562</v>
      </c>
      <c r="F705">
        <v>3295.7890625</v>
      </c>
    </row>
    <row r="706" spans="1:6" x14ac:dyDescent="0.25">
      <c r="A706" s="1">
        <v>46153</v>
      </c>
      <c r="B706">
        <v>1271.319580078125</v>
      </c>
      <c r="C706">
        <v>751.22515869140625</v>
      </c>
      <c r="D706">
        <v>1255.812866210938</v>
      </c>
      <c r="E706">
        <v>1152.069946289062</v>
      </c>
      <c r="F706">
        <v>3212.167236328125</v>
      </c>
    </row>
    <row r="707" spans="1:6" x14ac:dyDescent="0.25">
      <c r="A707" s="1">
        <v>46154</v>
      </c>
      <c r="B707">
        <v>1259.12890625</v>
      </c>
      <c r="C707">
        <v>738.23992919921875</v>
      </c>
      <c r="D707">
        <v>1229.93115234375</v>
      </c>
      <c r="E707">
        <v>1116.147338867188</v>
      </c>
      <c r="F707">
        <v>3142.993896484375</v>
      </c>
    </row>
    <row r="708" spans="1:6" x14ac:dyDescent="0.25">
      <c r="A708" s="1">
        <v>46155</v>
      </c>
      <c r="B708">
        <v>1254.732299804688</v>
      </c>
      <c r="C708">
        <v>737.40374755859375</v>
      </c>
      <c r="D708">
        <v>1225.270385742188</v>
      </c>
      <c r="E708">
        <v>1099.3115234375</v>
      </c>
      <c r="F708">
        <v>3079.461181640625</v>
      </c>
    </row>
    <row r="709" spans="1:6" x14ac:dyDescent="0.25">
      <c r="A709" s="1">
        <v>46156</v>
      </c>
      <c r="B709">
        <v>1253.633178710938</v>
      </c>
      <c r="C709">
        <v>757.0291748046875</v>
      </c>
      <c r="D709">
        <v>1235.583374023438</v>
      </c>
      <c r="E709">
        <v>1071.806762695312</v>
      </c>
      <c r="F709">
        <v>3140.91552734375</v>
      </c>
    </row>
    <row r="710" spans="1:6" x14ac:dyDescent="0.25">
      <c r="A710" s="1">
        <v>46157</v>
      </c>
      <c r="B710">
        <v>1243.8408203125</v>
      </c>
      <c r="C710">
        <v>755.01251220703125</v>
      </c>
      <c r="D710">
        <v>1234.095947265625</v>
      </c>
      <c r="E710">
        <v>1095.298461914062</v>
      </c>
      <c r="F710">
        <v>3090.643798828125</v>
      </c>
    </row>
    <row r="711" spans="1:6" x14ac:dyDescent="0.25">
      <c r="A711" s="1">
        <v>46160</v>
      </c>
      <c r="B711">
        <v>1236.946044921875</v>
      </c>
      <c r="C711">
        <v>756.143798828125</v>
      </c>
      <c r="D711">
        <v>1240.640747070312</v>
      </c>
      <c r="E711">
        <v>1118.300659179688</v>
      </c>
      <c r="F711">
        <v>3051.653076171875</v>
      </c>
    </row>
    <row r="712" spans="1:6" x14ac:dyDescent="0.25">
      <c r="A712" s="1">
        <v>46161</v>
      </c>
      <c r="B712">
        <v>1237.345825195312</v>
      </c>
      <c r="C712">
        <v>750.044677734375</v>
      </c>
      <c r="D712">
        <v>1230.426879882812</v>
      </c>
      <c r="E712">
        <v>1171.548461914062</v>
      </c>
      <c r="F712">
        <v>3060.163818359375</v>
      </c>
    </row>
    <row r="713" spans="1:6" x14ac:dyDescent="0.25">
      <c r="A713" s="1">
        <v>46162</v>
      </c>
      <c r="B713">
        <v>1248.8369140625</v>
      </c>
      <c r="C713">
        <v>747.1427001953125</v>
      </c>
      <c r="D713">
        <v>1226.956176757812</v>
      </c>
      <c r="E713">
        <v>1168.416137695312</v>
      </c>
      <c r="F713">
        <v>3089.7529296875</v>
      </c>
    </row>
    <row r="714" spans="1:6" x14ac:dyDescent="0.25">
      <c r="A714" s="1">
        <v>46163</v>
      </c>
      <c r="B714">
        <v>1252.334228515625</v>
      </c>
      <c r="C714">
        <v>746.79840087890625</v>
      </c>
      <c r="D714">
        <v>1232.41015625</v>
      </c>
      <c r="E714">
        <v>1156.180908203125</v>
      </c>
      <c r="F714">
        <v>3066.7939453125</v>
      </c>
    </row>
    <row r="715" spans="1:6" x14ac:dyDescent="0.25">
      <c r="A715" s="1">
        <v>46164</v>
      </c>
      <c r="B715">
        <v>1284.409423828125</v>
      </c>
      <c r="C715">
        <v>754.32391357421875</v>
      </c>
      <c r="D715">
        <v>1253.73046875</v>
      </c>
      <c r="E715">
        <v>1149.622802734375</v>
      </c>
      <c r="F715">
        <v>3049.278076171875</v>
      </c>
    </row>
    <row r="716" spans="1:6" x14ac:dyDescent="0.25">
      <c r="A716" s="1">
        <v>46167</v>
      </c>
      <c r="B716">
        <v>1310.189453125</v>
      </c>
      <c r="C716">
        <v>774.04766845703125</v>
      </c>
      <c r="D716">
        <v>1281.000610351562</v>
      </c>
      <c r="E716">
        <v>1143.75</v>
      </c>
      <c r="F716">
        <v>3106.37841796875</v>
      </c>
    </row>
    <row r="717" spans="1:6" x14ac:dyDescent="0.25">
      <c r="A717" s="1">
        <v>46168</v>
      </c>
      <c r="B717">
        <v>1298.298828125</v>
      </c>
      <c r="C717">
        <v>766.22705078125</v>
      </c>
      <c r="D717">
        <v>1268.406616210938</v>
      </c>
      <c r="E717">
        <v>1142.966796875</v>
      </c>
      <c r="F717">
        <v>3075.0078125</v>
      </c>
    </row>
    <row r="718" spans="1:6" x14ac:dyDescent="0.25">
      <c r="A718" s="1">
        <v>46169</v>
      </c>
      <c r="B718">
        <v>1303.094970703125</v>
      </c>
      <c r="C718">
        <v>746.3065185546875</v>
      </c>
      <c r="D718">
        <v>1262.060180664062</v>
      </c>
      <c r="E718">
        <v>1135.332153320312</v>
      </c>
      <c r="F718">
        <v>3089.1591796875</v>
      </c>
    </row>
    <row r="719" spans="1:6" x14ac:dyDescent="0.25">
      <c r="A719" s="1">
        <v>46170</v>
      </c>
      <c r="B719">
        <v>1303.094970703125</v>
      </c>
      <c r="C719">
        <v>746.3065185546875</v>
      </c>
      <c r="D719">
        <v>1262.060180664062</v>
      </c>
      <c r="E719">
        <v>1135.332153320312</v>
      </c>
      <c r="F719">
        <v>3089.1591796875</v>
      </c>
    </row>
    <row r="720" spans="1:6" x14ac:dyDescent="0.25">
      <c r="A720" s="1">
        <v>46171</v>
      </c>
      <c r="B720">
        <v>1285.608520507812</v>
      </c>
      <c r="C720">
        <v>732.4359130859375</v>
      </c>
      <c r="D720">
        <v>1245.896484375</v>
      </c>
      <c r="E720">
        <v>1136.310913085938</v>
      </c>
      <c r="F720">
        <v>3013.94921875</v>
      </c>
    </row>
    <row r="721" spans="1:6" x14ac:dyDescent="0.25">
      <c r="A721" s="1">
        <v>46174</v>
      </c>
      <c r="B721">
        <v>1274.916748046875</v>
      </c>
      <c r="C721">
        <v>730.61602783203125</v>
      </c>
      <c r="D721">
        <v>1229.336059570312</v>
      </c>
      <c r="E721">
        <v>1177.02978515625</v>
      </c>
      <c r="F721">
        <v>2939.33251953125</v>
      </c>
    </row>
    <row r="722" spans="1:6" x14ac:dyDescent="0.25">
      <c r="A722" s="1">
        <v>46175</v>
      </c>
      <c r="B722">
        <v>1250.135864257812</v>
      </c>
      <c r="C722">
        <v>736.07574462890625</v>
      </c>
      <c r="D722">
        <v>1216.345581054688</v>
      </c>
      <c r="E722">
        <v>1243.883178710938</v>
      </c>
      <c r="F722">
        <v>2967.140625</v>
      </c>
    </row>
    <row r="723" spans="1:6" x14ac:dyDescent="0.25">
      <c r="A723" s="1">
        <v>46176</v>
      </c>
      <c r="B723">
        <v>1254.232666015625</v>
      </c>
      <c r="C723">
        <v>741.38787841796875</v>
      </c>
      <c r="D723">
        <v>1231.616821289062</v>
      </c>
      <c r="E723">
        <v>1196.703979492188</v>
      </c>
      <c r="F723">
        <v>2979.8076171875</v>
      </c>
    </row>
    <row r="724" spans="1:6" x14ac:dyDescent="0.25">
      <c r="A724" s="1">
        <v>46177</v>
      </c>
      <c r="B724">
        <v>1252.334228515625</v>
      </c>
      <c r="C724">
        <v>741.92889404296875</v>
      </c>
      <c r="D724">
        <v>1241.235717773438</v>
      </c>
      <c r="E724">
        <v>1175.855224609375</v>
      </c>
      <c r="F724">
        <v>2984.755615234375</v>
      </c>
    </row>
    <row r="725" spans="1:6" x14ac:dyDescent="0.25">
      <c r="A725" s="1">
        <v>46178</v>
      </c>
      <c r="B725">
        <v>1271.319580078125</v>
      </c>
      <c r="C725">
        <v>734.89520263671875</v>
      </c>
      <c r="D725">
        <v>1251.548828125</v>
      </c>
      <c r="E725">
        <v>1172.1357421875</v>
      </c>
      <c r="F725">
        <v>3008.902099609375</v>
      </c>
    </row>
    <row r="726" spans="1:6" x14ac:dyDescent="0.25">
      <c r="A726" s="1">
        <v>46181</v>
      </c>
      <c r="B726">
        <v>1267.122680664062</v>
      </c>
      <c r="C726">
        <v>726.6319580078125</v>
      </c>
      <c r="D726">
        <v>1239.748291015625</v>
      </c>
      <c r="E726">
        <v>1162.4453125</v>
      </c>
      <c r="F726">
        <v>2935.17626953125</v>
      </c>
    </row>
    <row r="727" spans="1:6" x14ac:dyDescent="0.25">
      <c r="A727" s="1">
        <v>46182</v>
      </c>
      <c r="B727">
        <v>1291.404052734375</v>
      </c>
      <c r="C727">
        <v>726.3367919921875</v>
      </c>
      <c r="D727">
        <v>1264.340942382812</v>
      </c>
      <c r="E727">
        <v>1155.300048828125</v>
      </c>
      <c r="F727">
        <v>2959.02587890625</v>
      </c>
    </row>
    <row r="728" spans="1:6" x14ac:dyDescent="0.25">
      <c r="A728" s="1">
        <v>46183</v>
      </c>
      <c r="B728">
        <v>1313.487060546875</v>
      </c>
      <c r="C728">
        <v>734.698486328125</v>
      </c>
      <c r="D728">
        <v>1282.488037109375</v>
      </c>
      <c r="E728">
        <v>1145.300048828125</v>
      </c>
      <c r="F728">
        <v>2921.816650390625</v>
      </c>
    </row>
    <row r="729" spans="1:6" x14ac:dyDescent="0.25">
      <c r="A729" s="1">
        <v>46184</v>
      </c>
      <c r="B729">
        <v>1316.284912109375</v>
      </c>
      <c r="C729">
        <v>732.485107421875</v>
      </c>
      <c r="D729">
        <v>1305.989868164062</v>
      </c>
      <c r="E729">
        <v>1114.599975585938</v>
      </c>
      <c r="F729">
        <v>2969.71337890625</v>
      </c>
    </row>
    <row r="730" spans="1:6" x14ac:dyDescent="0.25">
      <c r="A730" s="1">
        <v>46185</v>
      </c>
      <c r="B730">
        <v>1355.2548828125</v>
      </c>
      <c r="C730">
        <v>759.8819580078125</v>
      </c>
      <c r="D730">
        <v>1329.590942382812</v>
      </c>
      <c r="E730">
        <v>1116.400024414062</v>
      </c>
      <c r="F730">
        <v>3011.27685546875</v>
      </c>
    </row>
    <row r="731" spans="1:6" x14ac:dyDescent="0.25">
      <c r="A731" s="1">
        <v>46188</v>
      </c>
      <c r="B731">
        <v>1367.24560546875</v>
      </c>
      <c r="C731">
        <v>764.70220947265625</v>
      </c>
      <c r="D731">
        <v>1316.501220703125</v>
      </c>
      <c r="E731">
        <v>1134.900024414062</v>
      </c>
      <c r="F731">
        <v>3101.727294921875</v>
      </c>
    </row>
    <row r="732" spans="1:6" x14ac:dyDescent="0.25">
      <c r="A732" s="1">
        <v>46189</v>
      </c>
      <c r="B732">
        <v>1364.6474609375</v>
      </c>
      <c r="C732">
        <v>772.12945556640625</v>
      </c>
      <c r="D732">
        <v>1323.145263671875</v>
      </c>
      <c r="E732">
        <v>1143.599975585938</v>
      </c>
      <c r="F732">
        <v>3105.289794921875</v>
      </c>
    </row>
    <row r="733" spans="1:6" x14ac:dyDescent="0.25">
      <c r="A733" s="1">
        <v>46190</v>
      </c>
      <c r="B733">
        <v>1349.859008789062</v>
      </c>
      <c r="C733">
        <v>774.2935791015625</v>
      </c>
      <c r="D733">
        <v>1325.624389648438</v>
      </c>
      <c r="E733">
        <v>1157.699951171875</v>
      </c>
      <c r="F733">
        <v>3100.341552734375</v>
      </c>
    </row>
    <row r="734" spans="1:6" x14ac:dyDescent="0.25">
      <c r="A734" s="1">
        <v>46191</v>
      </c>
      <c r="B734">
        <v>1359.051879882812</v>
      </c>
      <c r="C734">
        <v>786</v>
      </c>
      <c r="D734">
        <v>1331.078369140625</v>
      </c>
      <c r="E734">
        <v>1127.5</v>
      </c>
      <c r="F734">
        <v>3103.904296875</v>
      </c>
    </row>
    <row r="735" spans="1:6" x14ac:dyDescent="0.25">
      <c r="A735" s="1">
        <v>46192</v>
      </c>
      <c r="B735">
        <v>1356.853637695312</v>
      </c>
      <c r="C735">
        <v>779.79998779296875</v>
      </c>
      <c r="D735">
        <v>1335.2431640625</v>
      </c>
      <c r="E735">
        <v>1051.400024414062</v>
      </c>
      <c r="F735">
        <v>3042.845703125</v>
      </c>
    </row>
    <row r="736" spans="1:6" x14ac:dyDescent="0.25">
      <c r="A736" s="1">
        <v>46195</v>
      </c>
      <c r="B736">
        <v>1357.552978515625</v>
      </c>
      <c r="C736">
        <v>786.4000244140625</v>
      </c>
      <c r="D736">
        <v>1341.093872070312</v>
      </c>
      <c r="E736">
        <v>1065.400024414062</v>
      </c>
      <c r="F736">
        <v>3031.56396484375</v>
      </c>
    </row>
    <row r="737" spans="1:6" x14ac:dyDescent="0.25">
      <c r="A737" s="1">
        <v>46196</v>
      </c>
      <c r="B737">
        <v>1362.44921875</v>
      </c>
      <c r="C737">
        <v>774.6500244140625</v>
      </c>
      <c r="D737">
        <v>1327.11181640625</v>
      </c>
      <c r="E737">
        <v>1029.300048828125</v>
      </c>
      <c r="F737">
        <v>3005.7353515625</v>
      </c>
    </row>
    <row r="738" spans="1:6" x14ac:dyDescent="0.25">
      <c r="A738" s="1">
        <v>46197</v>
      </c>
      <c r="B738">
        <v>1383.43310546875</v>
      </c>
      <c r="C738">
        <v>793.20001220703125</v>
      </c>
      <c r="D738">
        <v>1362.11669921875</v>
      </c>
      <c r="E738">
        <v>1056.599975585938</v>
      </c>
      <c r="F738">
        <v>3032.652587890625</v>
      </c>
    </row>
    <row r="739" spans="1:6" x14ac:dyDescent="0.25">
      <c r="A739" s="1">
        <v>46198</v>
      </c>
      <c r="B739">
        <v>1376.138671875</v>
      </c>
      <c r="C739">
        <v>796.29998779296875</v>
      </c>
      <c r="D739">
        <v>1375.900512695312</v>
      </c>
      <c r="E739">
        <v>1041.199951171875</v>
      </c>
      <c r="F739">
        <v>3149.12939453125</v>
      </c>
    </row>
    <row r="740" spans="1:6" x14ac:dyDescent="0.25">
      <c r="A740" s="1">
        <v>46199</v>
      </c>
      <c r="B740">
        <v>1376.138671875</v>
      </c>
      <c r="C740">
        <v>796.29998779296875</v>
      </c>
      <c r="D740">
        <v>1375.900512695312</v>
      </c>
      <c r="E740">
        <v>1041.199951171875</v>
      </c>
      <c r="F740">
        <v>3149.12939453125</v>
      </c>
    </row>
    <row r="741" spans="1:6" x14ac:dyDescent="0.25">
      <c r="A741" s="1">
        <v>46202</v>
      </c>
      <c r="B741">
        <v>1355.754516601562</v>
      </c>
      <c r="C741">
        <v>798.9000244140625</v>
      </c>
      <c r="D741">
        <v>1375.999633789062</v>
      </c>
      <c r="E741">
        <v>1036.699951171875</v>
      </c>
      <c r="F741">
        <v>3060.8564453125</v>
      </c>
    </row>
    <row r="742" spans="1:6" x14ac:dyDescent="0.25">
      <c r="A742" s="1">
        <v>46203</v>
      </c>
      <c r="B742">
        <v>1344.662963867188</v>
      </c>
      <c r="C742">
        <v>797.95001220703125</v>
      </c>
      <c r="D742">
        <v>1363.703247070312</v>
      </c>
      <c r="E742">
        <v>1000.400024414062</v>
      </c>
      <c r="F742">
        <v>3036.907958984375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2C97-147C-46AF-9F6F-CD3C71A2AF60}">
  <dimension ref="A1:P832"/>
  <sheetViews>
    <sheetView topLeftCell="A250" workbookViewId="0">
      <selection activeCell="J264" sqref="J264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0" customWidth="1"/>
    <col min="7" max="7" width="15.42578125" bestFit="1" customWidth="1"/>
    <col min="8" max="8" width="12.7109375" bestFit="1" customWidth="1"/>
    <col min="9" max="9" width="17.42578125" bestFit="1" customWidth="1"/>
    <col min="10" max="10" width="20" bestFit="1" customWidth="1"/>
    <col min="11" max="11" width="19.140625" bestFit="1" customWidth="1"/>
    <col min="12" max="12" width="21.42578125" bestFit="1" customWidth="1"/>
    <col min="13" max="13" width="17.42578125" bestFit="1" customWidth="1"/>
    <col min="14" max="14" width="20" bestFit="1" customWidth="1"/>
    <col min="15" max="15" width="18.7109375" bestFit="1" customWidth="1"/>
    <col min="16" max="16" width="21.42578125" bestFit="1" customWidth="1"/>
  </cols>
  <sheetData>
    <row r="1" spans="1:16" x14ac:dyDescent="0.25">
      <c r="A1" t="s">
        <v>22</v>
      </c>
      <c r="B1" t="s">
        <v>7</v>
      </c>
      <c r="C1" t="s">
        <v>6</v>
      </c>
      <c r="D1" t="s">
        <v>8</v>
      </c>
      <c r="E1" t="s">
        <v>9</v>
      </c>
      <c r="F1" t="s">
        <v>10</v>
      </c>
    </row>
    <row r="2" spans="1:16" x14ac:dyDescent="0.25">
      <c r="A2" t="s">
        <v>23</v>
      </c>
      <c r="B2" s="3">
        <f>Portfolio!D2</f>
        <v>0.2105263157894737</v>
      </c>
      <c r="C2" s="3">
        <f>Portfolio!D3</f>
        <v>0.18421052631578949</v>
      </c>
      <c r="D2" s="3">
        <f>Portfolio!D4</f>
        <v>0.22807017543859651</v>
      </c>
      <c r="E2" s="3">
        <f>Portfolio!D5</f>
        <v>0.18421052631578949</v>
      </c>
      <c r="F2" s="3">
        <f>Portfolio!D6</f>
        <v>0.19298245614035089</v>
      </c>
    </row>
    <row r="4" spans="1:16" x14ac:dyDescent="0.25">
      <c r="A4" t="s">
        <v>0</v>
      </c>
      <c r="B4" t="s">
        <v>7</v>
      </c>
      <c r="C4" t="s">
        <v>6</v>
      </c>
      <c r="D4" t="s">
        <v>8</v>
      </c>
      <c r="E4" t="s">
        <v>9</v>
      </c>
      <c r="F4" t="s">
        <v>10</v>
      </c>
      <c r="G4" t="s">
        <v>24</v>
      </c>
      <c r="H4" s="8" t="s">
        <v>25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</row>
    <row r="5" spans="1:16" x14ac:dyDescent="0.25">
      <c r="A5" s="2">
        <f>'Historical Prices'!A3</f>
        <v>45111</v>
      </c>
      <c r="B5" s="3">
        <f>'Historical Prices'!C3/'Historical Prices'!C2-1</f>
        <v>4.8841680724893699E-3</v>
      </c>
      <c r="C5" s="3">
        <f>'Historical Prices'!B3/'Historical Prices'!B2-1</f>
        <v>-1.1607869744313493E-2</v>
      </c>
      <c r="D5" s="3">
        <f>'Historical Prices'!D3/'Historical Prices'!D2-1</f>
        <v>2.2811668460513967E-3</v>
      </c>
      <c r="E5" s="3">
        <f>'Historical Prices'!E3/'Historical Prices'!E2-1</f>
        <v>8.5852661315799494E-3</v>
      </c>
      <c r="F5" s="3">
        <f>'Historical Prices'!F3/'Historical Prices'!F2-1</f>
        <v>-2.3842350957713476E-3</v>
      </c>
      <c r="G5" s="9">
        <f>SUMPRODUCT(B5:F5, $B$2:$F$2)</f>
        <v>5.3160108563778206E-4</v>
      </c>
      <c r="H5" s="6">
        <f>G5*1000000</f>
        <v>531.60108563778203</v>
      </c>
      <c r="J5" s="10"/>
    </row>
    <row r="6" spans="1:16" x14ac:dyDescent="0.25">
      <c r="A6" s="2">
        <f>'Historical Prices'!A4</f>
        <v>45112</v>
      </c>
      <c r="B6" s="3">
        <f>'Historical Prices'!C4/'Historical Prices'!C3-1</f>
        <v>-3.176713611200066E-2</v>
      </c>
      <c r="C6" s="3">
        <f>'Historical Prices'!B4/'Historical Prices'!B3-1</f>
        <v>-4.3267687728911763E-3</v>
      </c>
      <c r="D6" s="3">
        <f>'Historical Prices'!D4/'Historical Prices'!D3-1</f>
        <v>1.4078476503524451E-2</v>
      </c>
      <c r="E6" s="3">
        <f>'Historical Prices'!E4/'Historical Prices'!E3-1</f>
        <v>1.5982793684212737E-3</v>
      </c>
      <c r="F6" s="3">
        <f>'Historical Prices'!F4/'Historical Prices'!F3-1</f>
        <v>7.4430782250483052E-3</v>
      </c>
      <c r="G6" s="9">
        <f t="shared" ref="G6:G69" si="0">SUMPRODUCT(B6:F6, $B$2:$F$2)</f>
        <v>-2.5431704749051356E-3</v>
      </c>
      <c r="H6" s="6">
        <f t="shared" ref="H6:H69" si="1">G6*1000000</f>
        <v>-2543.1704749051355</v>
      </c>
    </row>
    <row r="7" spans="1:16" x14ac:dyDescent="0.25">
      <c r="A7" s="2">
        <f>'Historical Prices'!A5</f>
        <v>45113</v>
      </c>
      <c r="B7" s="3">
        <f>'Historical Prices'!C5/'Historical Prices'!C4-1</f>
        <v>1.0158797687169763E-3</v>
      </c>
      <c r="C7" s="3">
        <f>'Historical Prices'!B5/'Historical Prices'!B4-1</f>
        <v>1.4950898620979203E-2</v>
      </c>
      <c r="D7" s="3">
        <f>'Historical Prices'!D5/'Historical Prices'!D4-1</f>
        <v>1.4614229955438596E-3</v>
      </c>
      <c r="E7" s="3">
        <f>'Historical Prices'!E5/'Historical Prices'!E4-1</f>
        <v>-2.5235084445764944E-3</v>
      </c>
      <c r="F7" s="3">
        <f>'Historical Prices'!F5/'Historical Prices'!F4-1</f>
        <v>4.9784858318413061E-2</v>
      </c>
      <c r="G7" s="9">
        <f t="shared" si="0"/>
        <v>1.2444036745990282E-2</v>
      </c>
      <c r="H7" s="6">
        <f t="shared" si="1"/>
        <v>12444.036745990283</v>
      </c>
      <c r="J7" s="5"/>
    </row>
    <row r="8" spans="1:16" x14ac:dyDescent="0.25">
      <c r="A8" s="2">
        <f>'Historical Prices'!A6</f>
        <v>45114</v>
      </c>
      <c r="B8" s="3">
        <f>'Historical Prices'!C6/'Historical Prices'!C5-1</f>
        <v>-8.7164050149391992E-3</v>
      </c>
      <c r="C8" s="3">
        <f>'Historical Prices'!B6/'Historical Prices'!B5-1</f>
        <v>-3.3164623710445484E-3</v>
      </c>
      <c r="D8" s="3">
        <f>'Historical Prices'!D6/'Historical Prices'!D5-1</f>
        <v>-1.3550093098214755E-2</v>
      </c>
      <c r="E8" s="3">
        <f>'Historical Prices'!E6/'Historical Prices'!E5-1</f>
        <v>-1.0194252304349893E-2</v>
      </c>
      <c r="F8" s="3">
        <f>'Historical Prices'!F6/'Historical Prices'!F5-1</f>
        <v>9.9107907075108859E-3</v>
      </c>
      <c r="G8" s="9">
        <f t="shared" si="0"/>
        <v>-5.5016118730716514E-3</v>
      </c>
      <c r="H8" s="6">
        <f t="shared" si="1"/>
        <v>-5501.6118730716516</v>
      </c>
    </row>
    <row r="9" spans="1:16" x14ac:dyDescent="0.25">
      <c r="A9" s="2">
        <f>'Historical Prices'!A7</f>
        <v>45117</v>
      </c>
      <c r="B9" s="3">
        <f>'Historical Prices'!C7/'Historical Prices'!C6-1</f>
        <v>-2.378923402029387E-3</v>
      </c>
      <c r="C9" s="3">
        <f>'Historical Prices'!B7/'Historical Prices'!B6-1</f>
        <v>-1.2951746833035682E-2</v>
      </c>
      <c r="D9" s="3">
        <f>'Historical Prices'!D7/'Historical Prices'!D6-1</f>
        <v>2.1132031208868085E-3</v>
      </c>
      <c r="E9" s="3">
        <f>'Historical Prices'!E7/'Historical Prices'!E6-1</f>
        <v>-7.8920802409909729E-4</v>
      </c>
      <c r="F9" s="3">
        <f>'Historical Prices'!F7/'Historical Prices'!F6-1</f>
        <v>-8.1512532624716805E-3</v>
      </c>
      <c r="G9" s="9">
        <f t="shared" si="0"/>
        <v>-4.1231447743846992E-3</v>
      </c>
      <c r="H9" s="6">
        <f t="shared" si="1"/>
        <v>-4123.1447743846993</v>
      </c>
    </row>
    <row r="10" spans="1:16" x14ac:dyDescent="0.25">
      <c r="A10" s="2">
        <f>'Historical Prices'!A8</f>
        <v>45118</v>
      </c>
      <c r="B10" s="3">
        <f>'Historical Prices'!C8/'Historical Prices'!C7-1</f>
        <v>-4.859776832767726E-3</v>
      </c>
      <c r="C10" s="3">
        <f>'Historical Prices'!B8/'Historical Prices'!B7-1</f>
        <v>-1.1254611070783849E-2</v>
      </c>
      <c r="D10" s="3">
        <f>'Historical Prices'!D8/'Historical Prices'!D7-1</f>
        <v>-3.6377014791687534E-3</v>
      </c>
      <c r="E10" s="3">
        <f>'Historical Prices'!E8/'Historical Prices'!E7-1</f>
        <v>1.4633180670291068E-2</v>
      </c>
      <c r="F10" s="3">
        <f>'Historical Prices'!F8/'Historical Prices'!F7-1</f>
        <v>1.1634487606841049E-2</v>
      </c>
      <c r="G10" s="9">
        <f t="shared" si="0"/>
        <v>1.0148579517135227E-3</v>
      </c>
      <c r="H10" s="6">
        <f t="shared" si="1"/>
        <v>1014.8579517135228</v>
      </c>
    </row>
    <row r="11" spans="1:16" x14ac:dyDescent="0.25">
      <c r="A11" s="2">
        <f>'Historical Prices'!A9</f>
        <v>45119</v>
      </c>
      <c r="B11" s="3">
        <f>'Historical Prices'!C9/'Historical Prices'!C8-1</f>
        <v>-9.3727499468301279E-3</v>
      </c>
      <c r="C11" s="3">
        <f>'Historical Prices'!B9/'Historical Prices'!B8-1</f>
        <v>-3.3571579178098832E-3</v>
      </c>
      <c r="D11" s="3">
        <f>'Historical Prices'!D9/'Historical Prices'!D8-1</f>
        <v>-5.8204264930861171E-4</v>
      </c>
      <c r="E11" s="3">
        <f>'Historical Prices'!E9/'Historical Prices'!E8-1</f>
        <v>-1.1344991432082785E-2</v>
      </c>
      <c r="F11" s="3">
        <f>'Historical Prices'!F9/'Historical Prices'!F8-1</f>
        <v>8.920809469510349E-4</v>
      </c>
      <c r="G11" s="9">
        <f t="shared" si="0"/>
        <v>-4.6420917817611429E-3</v>
      </c>
      <c r="H11" s="6">
        <f t="shared" si="1"/>
        <v>-4642.0917817611426</v>
      </c>
    </row>
    <row r="12" spans="1:16" x14ac:dyDescent="0.25">
      <c r="A12" s="2">
        <f>'Historical Prices'!A10</f>
        <v>45120</v>
      </c>
      <c r="B12" s="3">
        <f>'Historical Prices'!C10/'Historical Prices'!C9-1</f>
        <v>4.9909993381245243E-3</v>
      </c>
      <c r="C12" s="3">
        <f>'Historical Prices'!B10/'Historical Prices'!B9-1</f>
        <v>1.0684241632335834E-2</v>
      </c>
      <c r="D12" s="3">
        <f>'Historical Prices'!D10/'Historical Prices'!D9-1</f>
        <v>1.1965270820810892E-2</v>
      </c>
      <c r="E12" s="3">
        <f>'Historical Prices'!E10/'Historical Prices'!E9-1</f>
        <v>2.3850439375093124E-2</v>
      </c>
      <c r="F12" s="3">
        <f>'Historical Prices'!F10/'Historical Prices'!F9-1</f>
        <v>-2.5145669883259725E-3</v>
      </c>
      <c r="G12" s="9">
        <f t="shared" si="0"/>
        <v>9.6560425690255126E-3</v>
      </c>
      <c r="H12" s="6">
        <f t="shared" si="1"/>
        <v>9656.0425690255124</v>
      </c>
    </row>
    <row r="13" spans="1:16" x14ac:dyDescent="0.25">
      <c r="A13" s="2">
        <f>'Historical Prices'!A11</f>
        <v>45121</v>
      </c>
      <c r="B13" s="3">
        <f>'Historical Prices'!C11/'Historical Prices'!C10-1</f>
        <v>2.0717800715730483E-3</v>
      </c>
      <c r="C13" s="3">
        <f>'Historical Prices'!B11/'Historical Prices'!B10-1</f>
        <v>-3.2287374069205343E-3</v>
      </c>
      <c r="D13" s="3">
        <f>'Historical Prices'!D11/'Historical Prices'!D10-1</f>
        <v>4.5516294842793403E-3</v>
      </c>
      <c r="E13" s="3">
        <f>'Historical Prices'!E11/'Historical Prices'!E10-1</f>
        <v>4.4575606570500081E-2</v>
      </c>
      <c r="F13" s="3">
        <f>'Historical Prices'!F11/'Historical Prices'!F10-1</f>
        <v>-2.6439262514849071E-3</v>
      </c>
      <c r="G13" s="9">
        <f t="shared" si="0"/>
        <v>8.5805523088729706E-3</v>
      </c>
      <c r="H13" s="6">
        <f t="shared" si="1"/>
        <v>8580.5523088729715</v>
      </c>
    </row>
    <row r="14" spans="1:16" x14ac:dyDescent="0.25">
      <c r="A14" s="2">
        <f>'Historical Prices'!A12</f>
        <v>45124</v>
      </c>
      <c r="B14" s="3">
        <f>'Historical Prices'!C12/'Historical Prices'!C11-1</f>
        <v>2.0918228994908139E-2</v>
      </c>
      <c r="C14" s="3">
        <f>'Historical Prices'!B12/'Historical Prices'!B11-1</f>
        <v>8.1500905434210846E-3</v>
      </c>
      <c r="D14" s="3">
        <f>'Historical Prices'!D12/'Historical Prices'!D11-1</f>
        <v>9.0099133946950349E-3</v>
      </c>
      <c r="E14" s="3">
        <f>'Historical Prices'!E12/'Historical Prices'!E11-1</f>
        <v>-2.1038184238532098E-3</v>
      </c>
      <c r="F14" s="3">
        <f>'Historical Prices'!F12/'Historical Prices'!F11-1</f>
        <v>-6.6277427666406874E-3</v>
      </c>
      <c r="G14" s="9">
        <f t="shared" si="0"/>
        <v>6.2934791033745314E-3</v>
      </c>
      <c r="H14" s="6">
        <f t="shared" si="1"/>
        <v>6293.4791033745314</v>
      </c>
    </row>
    <row r="15" spans="1:16" x14ac:dyDescent="0.25">
      <c r="A15" s="2">
        <f>'Historical Prices'!A13</f>
        <v>45125</v>
      </c>
      <c r="B15" s="3">
        <f>'Historical Prices'!C13/'Historical Prices'!C12-1</f>
        <v>-8.3382082351524112E-4</v>
      </c>
      <c r="C15" s="3">
        <f>'Historical Prices'!B13/'Historical Prices'!B12-1</f>
        <v>-1.2436699684298391E-3</v>
      </c>
      <c r="D15" s="3">
        <f>'Historical Prices'!D13/'Historical Prices'!D12-1</f>
        <v>6.9681703609210111E-3</v>
      </c>
      <c r="E15" s="3">
        <f>'Historical Prices'!E13/'Historical Prices'!E12-1</f>
        <v>3.6719429589009644E-2</v>
      </c>
      <c r="F15" s="3">
        <f>'Historical Prices'!F13/'Historical Prices'!F12-1</f>
        <v>-1.0415387673363696E-3</v>
      </c>
      <c r="G15" s="9">
        <f t="shared" si="0"/>
        <v>7.7477002523715479E-3</v>
      </c>
      <c r="H15" s="6">
        <f t="shared" si="1"/>
        <v>7747.7002523715482</v>
      </c>
    </row>
    <row r="16" spans="1:16" x14ac:dyDescent="0.25">
      <c r="A16" s="2">
        <f>'Historical Prices'!A14</f>
        <v>45126</v>
      </c>
      <c r="B16" s="3">
        <f>'Historical Prices'!C14/'Historical Prices'!C13-1</f>
        <v>4.5305264309840609E-3</v>
      </c>
      <c r="C16" s="3">
        <f>'Historical Prices'!B14/'Historical Prices'!B13-1</f>
        <v>6.7451193119172359E-4</v>
      </c>
      <c r="D16" s="3">
        <f>'Historical Prices'!D14/'Historical Prices'!D13-1</f>
        <v>-2.0503989484059737E-3</v>
      </c>
      <c r="E16" s="3">
        <f>'Historical Prices'!E14/'Historical Prices'!E13-1</f>
        <v>-1.6935903879744529E-4</v>
      </c>
      <c r="F16" s="3">
        <f>'Historical Prices'!F14/'Historical Prices'!F13-1</f>
        <v>6.3529510278155232E-3</v>
      </c>
      <c r="G16" s="9">
        <f t="shared" si="0"/>
        <v>1.8052227634849432E-3</v>
      </c>
      <c r="H16" s="6">
        <f t="shared" si="1"/>
        <v>1805.2227634849432</v>
      </c>
    </row>
    <row r="17" spans="1:8" x14ac:dyDescent="0.25">
      <c r="A17" s="2">
        <f>'Historical Prices'!A15</f>
        <v>45127</v>
      </c>
      <c r="B17" s="3">
        <f>'Historical Prices'!C15/'Historical Prices'!C14-1</f>
        <v>2.1660401282177499E-3</v>
      </c>
      <c r="C17" s="3">
        <f>'Historical Prices'!B15/'Historical Prices'!B14-1</f>
        <v>1.4103493677413814E-2</v>
      </c>
      <c r="D17" s="3">
        <f>'Historical Prices'!D15/'Historical Prices'!D14-1</f>
        <v>2.275416068592806E-2</v>
      </c>
      <c r="E17" s="3">
        <f>'Historical Prices'!E15/'Historical Prices'!E14-1</f>
        <v>-1.7254805353307145E-2</v>
      </c>
      <c r="F17" s="3">
        <f>'Historical Prices'!F15/'Historical Prices'!F14-1</f>
        <v>5.8286022740916543E-4</v>
      </c>
      <c r="G17" s="9">
        <f t="shared" si="0"/>
        <v>5.1775308835140098E-3</v>
      </c>
      <c r="H17" s="6">
        <f t="shared" si="1"/>
        <v>5177.5308835140095</v>
      </c>
    </row>
    <row r="18" spans="1:8" x14ac:dyDescent="0.25">
      <c r="A18" s="2">
        <f>'Historical Prices'!A16</f>
        <v>45128</v>
      </c>
      <c r="B18" s="3">
        <f>'Historical Prices'!C16/'Historical Prices'!C15-1</f>
        <v>-7.698032749288708E-3</v>
      </c>
      <c r="C18" s="3">
        <f>'Historical Prices'!B16/'Historical Prices'!B15-1</f>
        <v>-6.7492469293920498E-3</v>
      </c>
      <c r="D18" s="3">
        <f>'Historical Prices'!D16/'Historical Prices'!D15-1</f>
        <v>1.4061672559801952E-3</v>
      </c>
      <c r="E18" s="3">
        <f>'Historical Prices'!E16/'Historical Prices'!E15-1</f>
        <v>-8.1338567997469191E-2</v>
      </c>
      <c r="F18" s="3">
        <f>'Historical Prices'!F16/'Historical Prices'!F15-1</f>
        <v>-1.4139196591537173E-2</v>
      </c>
      <c r="G18" s="9">
        <f t="shared" si="0"/>
        <v>-2.0255253296538139E-2</v>
      </c>
      <c r="H18" s="6">
        <f t="shared" si="1"/>
        <v>-20255.25329653814</v>
      </c>
    </row>
    <row r="19" spans="1:8" x14ac:dyDescent="0.25">
      <c r="A19" s="2">
        <f>'Historical Prices'!A17</f>
        <v>45131</v>
      </c>
      <c r="B19" s="3">
        <f>'Historical Prices'!C17/'Historical Prices'!C16-1</f>
        <v>1.5813873591103977E-3</v>
      </c>
      <c r="C19" s="3">
        <f>'Historical Prices'!B17/'Historical Prices'!B16-1</f>
        <v>2.059753771868067E-4</v>
      </c>
      <c r="D19" s="3">
        <f>'Historical Prices'!D17/'Historical Prices'!D16-1</f>
        <v>-5.0150101724261154E-3</v>
      </c>
      <c r="E19" s="3">
        <f>'Historical Prices'!E17/'Historical Prices'!E16-1</f>
        <v>3.7549743459632801E-3</v>
      </c>
      <c r="F19" s="3">
        <f>'Historical Prices'!F17/'Historical Prices'!F16-1</f>
        <v>1.5326498627471263E-2</v>
      </c>
      <c r="G19" s="9">
        <f t="shared" si="0"/>
        <v>2.8765433870709669E-3</v>
      </c>
      <c r="H19" s="6">
        <f t="shared" si="1"/>
        <v>2876.5433870709671</v>
      </c>
    </row>
    <row r="20" spans="1:8" x14ac:dyDescent="0.25">
      <c r="A20" s="2">
        <f>'Historical Prices'!A18</f>
        <v>45132</v>
      </c>
      <c r="B20" s="3">
        <f>'Historical Prices'!C18/'Historical Prices'!C17-1</f>
        <v>1.0843659380137982E-2</v>
      </c>
      <c r="C20" s="3">
        <f>'Historical Prices'!B18/'Historical Prices'!B17-1</f>
        <v>-9.2640862867919838E-3</v>
      </c>
      <c r="D20" s="3">
        <f>'Historical Prices'!D18/'Historical Prices'!D17-1</f>
        <v>2.7217627526001653E-3</v>
      </c>
      <c r="E20" s="3">
        <f>'Historical Prices'!E18/'Historical Prices'!E17-1</f>
        <v>-1.496471291181245E-3</v>
      </c>
      <c r="F20" s="3">
        <f>'Historical Prices'!F18/'Historical Prices'!F17-1</f>
        <v>1.2218400817378017E-2</v>
      </c>
      <c r="G20" s="9">
        <f t="shared" si="0"/>
        <v>3.27935759241925E-3</v>
      </c>
      <c r="H20" s="6">
        <f t="shared" si="1"/>
        <v>3279.3575924192501</v>
      </c>
    </row>
    <row r="21" spans="1:8" x14ac:dyDescent="0.25">
      <c r="A21" s="2">
        <f>'Historical Prices'!A19</f>
        <v>45133</v>
      </c>
      <c r="B21" s="3">
        <f>'Historical Prices'!C19/'Historical Prices'!C18-1</f>
        <v>-3.4775945334116765E-3</v>
      </c>
      <c r="C21" s="3">
        <f>'Historical Prices'!B19/'Historical Prices'!B18-1</f>
        <v>1.4857184628635611E-2</v>
      </c>
      <c r="D21" s="3">
        <f>'Historical Prices'!D19/'Historical Prices'!D18-1</f>
        <v>1.7593628400196515E-3</v>
      </c>
      <c r="E21" s="3">
        <f>'Historical Prices'!E19/'Historical Prices'!E18-1</f>
        <v>1.0677395235542564E-2</v>
      </c>
      <c r="F21" s="3">
        <f>'Historical Prices'!F19/'Historical Prices'!F18-1</f>
        <v>-1.3348209385960152E-2</v>
      </c>
      <c r="G21" s="9">
        <f t="shared" si="0"/>
        <v>1.796901190309202E-3</v>
      </c>
      <c r="H21" s="6">
        <f t="shared" si="1"/>
        <v>1796.9011903092021</v>
      </c>
    </row>
    <row r="22" spans="1:8" x14ac:dyDescent="0.25">
      <c r="A22" s="2">
        <f>'Historical Prices'!A20</f>
        <v>45134</v>
      </c>
      <c r="B22" s="3">
        <f>'Historical Prices'!C20/'Historical Prices'!C19-1</f>
        <v>-1.0380290959410843E-2</v>
      </c>
      <c r="C22" s="3">
        <f>'Historical Prices'!B20/'Historical Prices'!B19-1</f>
        <v>-1.7301406068466862E-2</v>
      </c>
      <c r="D22" s="3">
        <f>'Historical Prices'!D20/'Historical Prices'!D19-1</f>
        <v>-6.2220902242960952E-3</v>
      </c>
      <c r="E22" s="3">
        <f>'Historical Prices'!E20/'Historical Prices'!E19-1</f>
        <v>3.1879897301529958E-3</v>
      </c>
      <c r="F22" s="3">
        <f>'Historical Prices'!F20/'Historical Prices'!F19-1</f>
        <v>-6.3080565734702443E-2</v>
      </c>
      <c r="G22" s="9">
        <f t="shared" si="0"/>
        <v>-1.8377679983557927E-2</v>
      </c>
      <c r="H22" s="6">
        <f t="shared" si="1"/>
        <v>-18377.679983557926</v>
      </c>
    </row>
    <row r="23" spans="1:8" x14ac:dyDescent="0.25">
      <c r="A23" s="2">
        <f>'Historical Prices'!A21</f>
        <v>45135</v>
      </c>
      <c r="B23" s="3">
        <f>'Historical Prices'!C21/'Historical Prices'!C20-1</f>
        <v>-1.772112567195494E-2</v>
      </c>
      <c r="C23" s="3">
        <f>'Historical Prices'!B21/'Historical Prices'!B20-1</f>
        <v>-1.0365627545914302E-2</v>
      </c>
      <c r="D23" s="3">
        <f>'Historical Prices'!D21/'Historical Prices'!D20-1</f>
        <v>6.0085618216132453E-3</v>
      </c>
      <c r="E23" s="3">
        <f>'Historical Prices'!E21/'Historical Prices'!E20-1</f>
        <v>-9.348445746649392E-3</v>
      </c>
      <c r="F23" s="3">
        <f>'Historical Prices'!F21/'Historical Prices'!F20-1</f>
        <v>1.4094286946078505E-2</v>
      </c>
      <c r="G23" s="9">
        <f t="shared" si="0"/>
        <v>-3.2719792552200412E-3</v>
      </c>
      <c r="H23" s="6">
        <f t="shared" si="1"/>
        <v>-3271.9792552200411</v>
      </c>
    </row>
    <row r="24" spans="1:8" x14ac:dyDescent="0.25">
      <c r="A24" s="2">
        <f>'Historical Prices'!A22</f>
        <v>45138</v>
      </c>
      <c r="B24" s="3">
        <f>'Historical Prices'!C22/'Historical Prices'!C21-1</f>
        <v>4.6851439747070955E-3</v>
      </c>
      <c r="C24" s="3">
        <f>'Historical Prices'!B22/'Historical Prices'!B21-1</f>
        <v>4.1581211851258182E-3</v>
      </c>
      <c r="D24" s="3">
        <f>'Historical Prices'!D22/'Historical Prices'!D21-1</f>
        <v>2.1079804668326929E-3</v>
      </c>
      <c r="E24" s="3">
        <f>'Historical Prices'!E22/'Historical Prices'!E21-1</f>
        <v>1.133887079336704E-2</v>
      </c>
      <c r="F24" s="3">
        <f>'Historical Prices'!F22/'Historical Prices'!F21-1</f>
        <v>5.0414656474795372E-3</v>
      </c>
      <c r="G24" s="9">
        <f t="shared" si="0"/>
        <v>5.2947370466975459E-3</v>
      </c>
      <c r="H24" s="6">
        <f t="shared" si="1"/>
        <v>5294.7370466975462</v>
      </c>
    </row>
    <row r="25" spans="1:8" x14ac:dyDescent="0.25">
      <c r="A25" s="2">
        <f>'Historical Prices'!A23</f>
        <v>45139</v>
      </c>
      <c r="B25" s="3">
        <f>'Historical Prices'!C23/'Historical Prices'!C22-1</f>
        <v>6.692061040070918E-3</v>
      </c>
      <c r="C25" s="3">
        <f>'Historical Prices'!B23/'Historical Prices'!B22-1</f>
        <v>6.2899237433011734E-3</v>
      </c>
      <c r="D25" s="3">
        <f>'Historical Prices'!D23/'Historical Prices'!D22-1</f>
        <v>-3.7564228164572722E-3</v>
      </c>
      <c r="E25" s="3">
        <f>'Historical Prices'!E23/'Historical Prices'!E22-1</f>
        <v>7.0074750227191451E-3</v>
      </c>
      <c r="F25" s="3">
        <f>'Historical Prices'!F23/'Historical Prices'!F22-1</f>
        <v>1.2303511001091172E-2</v>
      </c>
      <c r="G25" s="9">
        <f t="shared" si="0"/>
        <v>5.3760095424933811E-3</v>
      </c>
      <c r="H25" s="6">
        <f t="shared" si="1"/>
        <v>5376.0095424933816</v>
      </c>
    </row>
    <row r="26" spans="1:8" x14ac:dyDescent="0.25">
      <c r="A26" s="2">
        <f>'Historical Prices'!A24</f>
        <v>45140</v>
      </c>
      <c r="B26" s="3">
        <f>'Historical Prices'!C24/'Historical Prices'!C23-1</f>
        <v>-1.3084549374985155E-2</v>
      </c>
      <c r="C26" s="3">
        <f>'Historical Prices'!B24/'Historical Prices'!B23-1</f>
        <v>-1.5262005051323357E-2</v>
      </c>
      <c r="D26" s="3">
        <f>'Historical Prices'!D24/'Historical Prices'!D23-1</f>
        <v>-7.6415660146309516E-3</v>
      </c>
      <c r="E26" s="3">
        <f>'Historical Prices'!E24/'Historical Prices'!E23-1</f>
        <v>-6.1162205747183895E-3</v>
      </c>
      <c r="F26" s="3">
        <f>'Historical Prices'!F24/'Historical Prices'!F23-1</f>
        <v>-5.3906018166168801E-3</v>
      </c>
      <c r="G26" s="9">
        <f t="shared" si="0"/>
        <v>-9.475841048179794E-3</v>
      </c>
      <c r="H26" s="6">
        <f t="shared" si="1"/>
        <v>-9475.8410481797946</v>
      </c>
    </row>
    <row r="27" spans="1:8" x14ac:dyDescent="0.25">
      <c r="A27" s="2">
        <f>'Historical Prices'!A25</f>
        <v>45141</v>
      </c>
      <c r="B27" s="3">
        <f>'Historical Prices'!C25/'Historical Prices'!C24-1</f>
        <v>-7.2234195675848767E-3</v>
      </c>
      <c r="C27" s="3">
        <f>'Historical Prices'!B25/'Historical Prices'!B24-1</f>
        <v>-1.0261747274400324E-2</v>
      </c>
      <c r="D27" s="3">
        <f>'Historical Prices'!D25/'Historical Prices'!D24-1</f>
        <v>-2.2240201538765381E-2</v>
      </c>
      <c r="E27" s="3">
        <f>'Historical Prices'!E25/'Historical Prices'!E24-1</f>
        <v>5.4906107915126956E-3</v>
      </c>
      <c r="F27" s="3">
        <f>'Historical Prices'!F25/'Historical Prices'!F24-1</f>
        <v>-1.0873198692699759E-2</v>
      </c>
      <c r="G27" s="9">
        <f t="shared" si="0"/>
        <v>-9.5702767281576496E-3</v>
      </c>
      <c r="H27" s="6">
        <f t="shared" si="1"/>
        <v>-9570.2767281576489</v>
      </c>
    </row>
    <row r="28" spans="1:8" x14ac:dyDescent="0.25">
      <c r="A28" s="2">
        <f>'Historical Prices'!A26</f>
        <v>45142</v>
      </c>
      <c r="B28" s="3">
        <f>'Historical Prices'!C26/'Historical Prices'!C25-1</f>
        <v>1.4459745028875481E-2</v>
      </c>
      <c r="C28" s="3">
        <f>'Historical Prices'!B26/'Historical Prices'!B25-1</f>
        <v>1.7850407027236281E-2</v>
      </c>
      <c r="D28" s="3">
        <f>'Historical Prices'!D26/'Historical Prices'!D25-1</f>
        <v>5.6993631992043881E-3</v>
      </c>
      <c r="E28" s="3">
        <f>'Historical Prices'!E26/'Historical Prices'!E25-1</f>
        <v>1.0298314977649659E-2</v>
      </c>
      <c r="F28" s="3">
        <f>'Historical Prices'!F26/'Historical Prices'!F25-1</f>
        <v>-3.0629885908851628E-3</v>
      </c>
      <c r="G28" s="9">
        <f t="shared" si="0"/>
        <v>8.9381994471531313E-3</v>
      </c>
      <c r="H28" s="6">
        <f t="shared" si="1"/>
        <v>8938.1994471531307</v>
      </c>
    </row>
    <row r="29" spans="1:8" x14ac:dyDescent="0.25">
      <c r="A29" s="2">
        <f>'Historical Prices'!A27</f>
        <v>45145</v>
      </c>
      <c r="B29" s="3">
        <f>'Historical Prices'!C27/'Historical Prices'!C26-1</f>
        <v>-5.7492031092143403E-4</v>
      </c>
      <c r="C29" s="3">
        <f>'Historical Prices'!B27/'Historical Prices'!B26-1</f>
        <v>-5.0931884772071889E-3</v>
      </c>
      <c r="D29" s="3">
        <f>'Historical Prices'!D27/'Historical Prices'!D26-1</f>
        <v>5.3065607785165447E-3</v>
      </c>
      <c r="E29" s="3">
        <f>'Historical Prices'!E27/'Historical Prices'!E26-1</f>
        <v>1.0628674037284958E-2</v>
      </c>
      <c r="F29" s="3">
        <f>'Historical Prices'!F27/'Historical Prices'!F26-1</f>
        <v>4.2501595121446467E-2</v>
      </c>
      <c r="G29" s="9">
        <f t="shared" si="0"/>
        <v>1.0310989317655887E-2</v>
      </c>
      <c r="H29" s="6">
        <f t="shared" si="1"/>
        <v>10310.989317655887</v>
      </c>
    </row>
    <row r="30" spans="1:8" x14ac:dyDescent="0.25">
      <c r="A30" s="2">
        <f>'Historical Prices'!A28</f>
        <v>45146</v>
      </c>
      <c r="B30" s="3">
        <f>'Historical Prices'!C28/'Historical Prices'!C27-1</f>
        <v>-8.1759608838560816E-4</v>
      </c>
      <c r="C30" s="3">
        <f>'Historical Prices'!B28/'Historical Prices'!B27-1</f>
        <v>5.8054077337199583E-3</v>
      </c>
      <c r="D30" s="3">
        <f>'Historical Prices'!D28/'Historical Prices'!D27-1</f>
        <v>4.356156365475039E-3</v>
      </c>
      <c r="E30" s="3">
        <f>'Historical Prices'!E28/'Historical Prices'!E27-1</f>
        <v>-2.0100612872194779E-3</v>
      </c>
      <c r="F30" s="3">
        <f>'Historical Prices'!F28/'Historical Prices'!F27-1</f>
        <v>-1.7813932831727941E-2</v>
      </c>
      <c r="G30" s="9">
        <f t="shared" si="0"/>
        <v>-1.917249890705335E-3</v>
      </c>
      <c r="H30" s="6">
        <f t="shared" si="1"/>
        <v>-1917.249890705335</v>
      </c>
    </row>
    <row r="31" spans="1:8" x14ac:dyDescent="0.25">
      <c r="A31" s="2">
        <f>'Historical Prices'!A29</f>
        <v>45147</v>
      </c>
      <c r="B31" s="3">
        <f>'Historical Prices'!C29/'Historical Prices'!C28-1</f>
        <v>3.6369913311795621E-4</v>
      </c>
      <c r="C31" s="3">
        <f>'Historical Prices'!B29/'Historical Prices'!B28-1</f>
        <v>-3.0434142226660743E-3</v>
      </c>
      <c r="D31" s="3">
        <f>'Historical Prices'!D29/'Historical Prices'!D28-1</f>
        <v>8.23064816080743E-4</v>
      </c>
      <c r="E31" s="3">
        <f>'Historical Prices'!E29/'Historical Prices'!E28-1</f>
        <v>3.0211646569491268E-3</v>
      </c>
      <c r="F31" s="3">
        <f>'Historical Prices'!F29/'Historical Prices'!F28-1</f>
        <v>2.3371421975800111E-2</v>
      </c>
      <c r="G31" s="9">
        <f t="shared" si="0"/>
        <v>4.7704605877234808E-3</v>
      </c>
      <c r="H31" s="6">
        <f t="shared" si="1"/>
        <v>4770.4605877234808</v>
      </c>
    </row>
    <row r="32" spans="1:8" x14ac:dyDescent="0.25">
      <c r="A32" s="2">
        <f>'Historical Prices'!A30</f>
        <v>45148</v>
      </c>
      <c r="B32" s="3">
        <f>'Historical Prices'!C30/'Historical Prices'!C29-1</f>
        <v>-8.876145724288742E-3</v>
      </c>
      <c r="C32" s="3">
        <f>'Historical Prices'!B30/'Historical Prices'!B29-1</f>
        <v>-1.078940960452146E-2</v>
      </c>
      <c r="D32" s="3">
        <f>'Historical Prices'!D30/'Historical Prices'!D29-1</f>
        <v>-8.8413617077216511E-3</v>
      </c>
      <c r="E32" s="3">
        <f>'Historical Prices'!E30/'Historical Prices'!E29-1</f>
        <v>-3.8009250585558929E-3</v>
      </c>
      <c r="F32" s="3">
        <f>'Historical Prices'!F30/'Historical Prices'!F29-1</f>
        <v>6.9391243756384835E-3</v>
      </c>
      <c r="G32" s="9">
        <f t="shared" si="0"/>
        <v>-5.2336771354760583E-3</v>
      </c>
      <c r="H32" s="6">
        <f t="shared" si="1"/>
        <v>-5233.6771354760585</v>
      </c>
    </row>
    <row r="33" spans="1:8" x14ac:dyDescent="0.25">
      <c r="A33" s="2">
        <f>'Historical Prices'!A31</f>
        <v>45149</v>
      </c>
      <c r="B33" s="3">
        <f>'Historical Prices'!C31/'Historical Prices'!C30-1</f>
        <v>-1.0422694981517044E-2</v>
      </c>
      <c r="C33" s="3">
        <f>'Historical Prices'!B31/'Historical Prices'!B30-1</f>
        <v>-2.7134751492317033E-3</v>
      </c>
      <c r="D33" s="3">
        <f>'Historical Prices'!D31/'Historical Prices'!D30-1</f>
        <v>-1.1668952457285497E-2</v>
      </c>
      <c r="E33" s="3">
        <f>'Historical Prices'!E31/'Historical Prices'!E30-1</f>
        <v>-1.2418201345793634E-2</v>
      </c>
      <c r="F33" s="3">
        <f>'Historical Prices'!F31/'Historical Prices'!F30-1</f>
        <v>6.7943696939543052E-4</v>
      </c>
      <c r="G33" s="9">
        <f t="shared" si="0"/>
        <v>-7.5118862852163572E-3</v>
      </c>
      <c r="H33" s="6">
        <f t="shared" si="1"/>
        <v>-7511.8862852163575</v>
      </c>
    </row>
    <row r="34" spans="1:8" x14ac:dyDescent="0.25">
      <c r="A34" s="2">
        <f>'Historical Prices'!A32</f>
        <v>45152</v>
      </c>
      <c r="B34" s="3">
        <f>'Historical Prices'!C32/'Historical Prices'!C31-1</f>
        <v>-4.8801140079306471E-3</v>
      </c>
      <c r="C34" s="3">
        <f>'Historical Prices'!B32/'Historical Prices'!B31-1</f>
        <v>2.9341973266143739E-3</v>
      </c>
      <c r="D34" s="3">
        <f>'Historical Prices'!D32/'Historical Prices'!D31-1</f>
        <v>7.031563909102978E-3</v>
      </c>
      <c r="E34" s="3">
        <f>'Historical Prices'!E32/'Historical Prices'!E31-1</f>
        <v>1.5818242014368877E-2</v>
      </c>
      <c r="F34" s="3">
        <f>'Historical Prices'!F32/'Historical Prices'!F31-1</f>
        <v>2.5869595854377536E-4</v>
      </c>
      <c r="G34" s="9">
        <f t="shared" si="0"/>
        <v>4.0806180938153802E-3</v>
      </c>
      <c r="H34" s="6">
        <f t="shared" si="1"/>
        <v>4080.6180938153802</v>
      </c>
    </row>
    <row r="35" spans="1:8" x14ac:dyDescent="0.25">
      <c r="A35" s="2">
        <f>'Historical Prices'!A33</f>
        <v>45154</v>
      </c>
      <c r="B35" s="3">
        <f>'Historical Prices'!C33/'Historical Prices'!C32-1</f>
        <v>-2.9177524450589853E-3</v>
      </c>
      <c r="C35" s="3">
        <f>'Historical Prices'!B33/'Historical Prices'!B32-1</f>
        <v>-7.3408171538413836E-3</v>
      </c>
      <c r="D35" s="3">
        <f>'Historical Prices'!D33/'Historical Prices'!D32-1</f>
        <v>-3.1786194405942769E-3</v>
      </c>
      <c r="E35" s="3">
        <f>'Historical Prices'!E33/'Historical Prices'!E32-1</f>
        <v>1.7903839186171888E-2</v>
      </c>
      <c r="F35" s="3">
        <f>'Historical Prices'!F33/'Historical Prices'!F32-1</f>
        <v>1.5353771992173693E-2</v>
      </c>
      <c r="G35" s="9">
        <f t="shared" si="0"/>
        <v>3.569616512016623E-3</v>
      </c>
      <c r="H35" s="6">
        <f t="shared" si="1"/>
        <v>3569.6165120166229</v>
      </c>
    </row>
    <row r="36" spans="1:8" x14ac:dyDescent="0.25">
      <c r="A36" s="2">
        <f>'Historical Prices'!A34</f>
        <v>45155</v>
      </c>
      <c r="B36" s="3">
        <f>'Historical Prices'!C34/'Historical Prices'!C33-1</f>
        <v>-5.5408954850960646E-3</v>
      </c>
      <c r="C36" s="3">
        <f>'Historical Prices'!B34/'Historical Prices'!B33-1</f>
        <v>3.7511564377212814E-3</v>
      </c>
      <c r="D36" s="3">
        <f>'Historical Prices'!D34/'Historical Prices'!D33-1</f>
        <v>-5.070483885683541E-3</v>
      </c>
      <c r="E36" s="3">
        <f>'Historical Prices'!E34/'Historical Prices'!E33-1</f>
        <v>-4.8994402099165058E-3</v>
      </c>
      <c r="F36" s="3">
        <f>'Historical Prices'!F34/'Historical Prices'!F33-1</f>
        <v>1.8464275936496133E-3</v>
      </c>
      <c r="G36" s="9">
        <f t="shared" si="0"/>
        <v>-2.1781282879463669E-3</v>
      </c>
      <c r="H36" s="6">
        <f t="shared" si="1"/>
        <v>-2178.128287946367</v>
      </c>
    </row>
    <row r="37" spans="1:8" x14ac:dyDescent="0.25">
      <c r="A37" s="2">
        <f>'Historical Prices'!A35</f>
        <v>45156</v>
      </c>
      <c r="B37" s="3">
        <f>'Historical Prices'!C35/'Historical Prices'!C34-1</f>
        <v>-4.1006699753604048E-3</v>
      </c>
      <c r="C37" s="3">
        <f>'Historical Prices'!B35/'Historical Prices'!B34-1</f>
        <v>6.940361532990158E-3</v>
      </c>
      <c r="D37" s="3">
        <f>'Historical Prices'!D35/'Historical Prices'!D34-1</f>
        <v>-1.0508055441775799E-3</v>
      </c>
      <c r="E37" s="3">
        <f>'Historical Prices'!E35/'Historical Prices'!E34-1</f>
        <v>-1.6117073497170731E-2</v>
      </c>
      <c r="F37" s="3">
        <f>'Historical Prices'!F35/'Historical Prices'!F34-1</f>
        <v>-1.3250704358096832E-2</v>
      </c>
      <c r="G37" s="9">
        <f t="shared" si="0"/>
        <v>-5.350556760378853E-3</v>
      </c>
      <c r="H37" s="6">
        <f t="shared" si="1"/>
        <v>-5350.5567603788531</v>
      </c>
    </row>
    <row r="38" spans="1:8" x14ac:dyDescent="0.25">
      <c r="A38" s="2">
        <f>'Historical Prices'!A36</f>
        <v>45159</v>
      </c>
      <c r="B38" s="3">
        <f>'Historical Prices'!C36/'Historical Prices'!C35-1</f>
        <v>-7.8586078884046451E-4</v>
      </c>
      <c r="C38" s="3">
        <f>'Historical Prices'!B36/'Historical Prices'!B35-1</f>
        <v>1.0126609378715123E-2</v>
      </c>
      <c r="D38" s="3">
        <f>'Historical Prices'!D36/'Historical Prices'!D35-1</f>
        <v>4.7862110373453337E-3</v>
      </c>
      <c r="E38" s="3">
        <f>'Historical Prices'!E36/'Historical Prices'!E35-1</f>
        <v>1.1952595012092671E-2</v>
      </c>
      <c r="F38" s="3">
        <f>'Historical Prices'!F36/'Historical Prices'!F35-1</f>
        <v>-9.0811259079512929E-3</v>
      </c>
      <c r="G38" s="9">
        <f t="shared" si="0"/>
        <v>3.2408714936038845E-3</v>
      </c>
      <c r="H38" s="6">
        <f t="shared" si="1"/>
        <v>3240.8714936038846</v>
      </c>
    </row>
    <row r="39" spans="1:8" x14ac:dyDescent="0.25">
      <c r="A39" s="2">
        <f>'Historical Prices'!A37</f>
        <v>45160</v>
      </c>
      <c r="B39" s="3">
        <f>'Historical Prices'!C37/'Historical Prices'!C36-1</f>
        <v>-4.2780728076019514E-3</v>
      </c>
      <c r="C39" s="3">
        <f>'Historical Prices'!B37/'Historical Prices'!B36-1</f>
        <v>4.6714728212573498E-3</v>
      </c>
      <c r="D39" s="3">
        <f>'Historical Prices'!D37/'Historical Prices'!D36-1</f>
        <v>-3.3500806804110939E-3</v>
      </c>
      <c r="E39" s="3">
        <f>'Historical Prices'!E37/'Historical Prices'!E36-1</f>
        <v>-1.1740290678411425E-3</v>
      </c>
      <c r="F39" s="3">
        <f>'Historical Prices'!F37/'Historical Prices'!F36-1</f>
        <v>7.7669420774426623E-3</v>
      </c>
      <c r="G39" s="9">
        <f t="shared" si="0"/>
        <v>4.7844911800301441E-4</v>
      </c>
      <c r="H39" s="6">
        <f t="shared" si="1"/>
        <v>478.44911800301441</v>
      </c>
    </row>
    <row r="40" spans="1:8" x14ac:dyDescent="0.25">
      <c r="A40" s="2">
        <f>'Historical Prices'!A38</f>
        <v>45161</v>
      </c>
      <c r="B40" s="3">
        <f>'Historical Prices'!C38/'Historical Prices'!C37-1</f>
        <v>2.4641376231173684E-3</v>
      </c>
      <c r="C40" s="3">
        <f>'Historical Prices'!B38/'Historical Prices'!B37-1</f>
        <v>2.319633778439889E-2</v>
      </c>
      <c r="D40" s="3">
        <f>'Historical Prices'!D38/'Historical Prices'!D37-1</f>
        <v>1.559870871707969E-2</v>
      </c>
      <c r="E40" s="3">
        <f>'Historical Prices'!E38/'Historical Prices'!E37-1</f>
        <v>2.9920024010958723E-3</v>
      </c>
      <c r="F40" s="3">
        <f>'Historical Prices'!F38/'Historical Prices'!F37-1</f>
        <v>-5.1918288212784436E-3</v>
      </c>
      <c r="G40" s="9">
        <f t="shared" si="0"/>
        <v>7.8986021002294144E-3</v>
      </c>
      <c r="H40" s="6">
        <f t="shared" si="1"/>
        <v>7898.6021002294146</v>
      </c>
    </row>
    <row r="41" spans="1:8" x14ac:dyDescent="0.25">
      <c r="A41" s="2">
        <f>'Historical Prices'!A39</f>
        <v>45162</v>
      </c>
      <c r="B41" s="3">
        <f>'Historical Prices'!C39/'Historical Prices'!C38-1</f>
        <v>-4.6009463835192665E-3</v>
      </c>
      <c r="C41" s="3">
        <f>'Historical Prices'!B39/'Historical Prices'!B38-1</f>
        <v>2.144433463583395E-3</v>
      </c>
      <c r="D41" s="3">
        <f>'Historical Prices'!D39/'Historical Prices'!D38-1</f>
        <v>2.1720322811009662E-3</v>
      </c>
      <c r="E41" s="3">
        <f>'Historical Prices'!E39/'Historical Prices'!E38-1</f>
        <v>1.1115397488199896E-2</v>
      </c>
      <c r="F41" s="3">
        <f>'Historical Prices'!F39/'Historical Prices'!F38-1</f>
        <v>-1.6208395136640963E-4</v>
      </c>
      <c r="G41" s="9">
        <f t="shared" si="0"/>
        <v>1.9380765715925512E-3</v>
      </c>
      <c r="H41" s="6">
        <f t="shared" si="1"/>
        <v>1938.0765715925513</v>
      </c>
    </row>
    <row r="42" spans="1:8" x14ac:dyDescent="0.25">
      <c r="A42" s="2">
        <f>'Historical Prices'!A40</f>
        <v>45163</v>
      </c>
      <c r="B42" s="3">
        <f>'Historical Prices'!C40/'Historical Prices'!C39-1</f>
        <v>-1.127086679589695E-2</v>
      </c>
      <c r="C42" s="3">
        <f>'Historical Prices'!B40/'Historical Prices'!B39-1</f>
        <v>1.7832350963211674E-3</v>
      </c>
      <c r="D42" s="3">
        <f>'Historical Prices'!D40/'Historical Prices'!D39-1</f>
        <v>1.4964477282763955E-3</v>
      </c>
      <c r="E42" s="3">
        <f>'Historical Prices'!E40/'Historical Prices'!E39-1</f>
        <v>-2.4584752929076581E-3</v>
      </c>
      <c r="F42" s="3">
        <f>'Historical Prices'!F40/'Historical Prices'!F39-1</f>
        <v>-1.4362592496635851E-2</v>
      </c>
      <c r="G42" s="9">
        <f t="shared" si="0"/>
        <v>-4.9276336949179433E-3</v>
      </c>
      <c r="H42" s="6">
        <f t="shared" si="1"/>
        <v>-4927.6336949179431</v>
      </c>
    </row>
    <row r="43" spans="1:8" x14ac:dyDescent="0.25">
      <c r="A43" s="2">
        <f>'Historical Prices'!A41</f>
        <v>45166</v>
      </c>
      <c r="B43" s="3">
        <f>'Historical Prices'!C41/'Historical Prices'!C40-1</f>
        <v>1.040666211866248E-2</v>
      </c>
      <c r="C43" s="3">
        <f>'Historical Prices'!B41/'Historical Prices'!B40-1</f>
        <v>7.2221815630928443E-3</v>
      </c>
      <c r="D43" s="3">
        <f>'Historical Prices'!D41/'Historical Prices'!D40-1</f>
        <v>1.5459141000384591E-4</v>
      </c>
      <c r="E43" s="3">
        <f>'Historical Prices'!E41/'Historical Prices'!E40-1</f>
        <v>-3.1335791946589531E-3</v>
      </c>
      <c r="F43" s="3">
        <f>'Historical Prices'!F41/'Historical Prices'!F40-1</f>
        <v>1.9209825104614886E-2</v>
      </c>
      <c r="G43" s="9">
        <f t="shared" si="0"/>
        <v>6.6864567504091119E-3</v>
      </c>
      <c r="H43" s="6">
        <f t="shared" si="1"/>
        <v>6686.4567504091119</v>
      </c>
    </row>
    <row r="44" spans="1:8" x14ac:dyDescent="0.25">
      <c r="A44" s="2">
        <f>'Historical Prices'!A42</f>
        <v>45167</v>
      </c>
      <c r="B44" s="3">
        <f>'Historical Prices'!C42/'Historical Prices'!C41-1</f>
        <v>7.9544682343650752E-3</v>
      </c>
      <c r="C44" s="3">
        <f>'Historical Prices'!B42/'Historical Prices'!B41-1</f>
        <v>-9.5939955767834206E-3</v>
      </c>
      <c r="D44" s="3">
        <f>'Historical Prices'!D42/'Historical Prices'!D41-1</f>
        <v>-2.8850239418506396E-3</v>
      </c>
      <c r="E44" s="3">
        <f>'Historical Prices'!E42/'Historical Prices'!E41-1</f>
        <v>1.412718676387037E-3</v>
      </c>
      <c r="F44" s="3">
        <f>'Historical Prices'!F42/'Historical Prices'!F41-1</f>
        <v>7.487491809090363E-3</v>
      </c>
      <c r="G44" s="9">
        <f t="shared" si="0"/>
        <v>9.5451421077464129E-4</v>
      </c>
      <c r="H44" s="6">
        <f t="shared" si="1"/>
        <v>954.51421077464124</v>
      </c>
    </row>
    <row r="45" spans="1:8" x14ac:dyDescent="0.25">
      <c r="A45" s="2">
        <f>'Historical Prices'!A43</f>
        <v>45168</v>
      </c>
      <c r="B45" s="3">
        <f>'Historical Prices'!C43/'Historical Prices'!C42-1</f>
        <v>-7.2943958992209845E-3</v>
      </c>
      <c r="C45" s="3">
        <f>'Historical Prices'!B43/'Historical Prices'!B42-1</f>
        <v>2.7020473161474268E-3</v>
      </c>
      <c r="D45" s="3">
        <f>'Historical Prices'!D43/'Historical Prices'!D42-1</f>
        <v>-9.1448351552736451E-3</v>
      </c>
      <c r="E45" s="3">
        <f>'Historical Prices'!E43/'Historical Prices'!E42-1</f>
        <v>1.2344536227587799E-2</v>
      </c>
      <c r="F45" s="3">
        <f>'Historical Prices'!F43/'Historical Prices'!F42-1</f>
        <v>1.431913491682768E-2</v>
      </c>
      <c r="G45" s="9">
        <f t="shared" si="0"/>
        <v>1.9137544471072836E-3</v>
      </c>
      <c r="H45" s="6">
        <f t="shared" si="1"/>
        <v>1913.7544471072836</v>
      </c>
    </row>
    <row r="46" spans="1:8" x14ac:dyDescent="0.25">
      <c r="A46" s="2">
        <f>'Historical Prices'!A44</f>
        <v>45169</v>
      </c>
      <c r="B46" s="3">
        <f>'Historical Prices'!C44/'Historical Prices'!C43-1</f>
        <v>-4.5923152345933582E-3</v>
      </c>
      <c r="C46" s="3">
        <f>'Historical Prices'!B44/'Historical Prices'!B43-1</f>
        <v>-1.0016712252418514E-2</v>
      </c>
      <c r="D46" s="3">
        <f>'Historical Prices'!D44/'Historical Prices'!D43-1</f>
        <v>-1.5651064380028945E-4</v>
      </c>
      <c r="E46" s="3">
        <f>'Historical Prices'!E44/'Historical Prices'!E43-1</f>
        <v>2.0895837754775215E-4</v>
      </c>
      <c r="F46" s="3">
        <f>'Historical Prices'!F44/'Historical Prices'!F43-1</f>
        <v>-4.9266828297114262E-3</v>
      </c>
      <c r="G46" s="9">
        <f t="shared" si="0"/>
        <v>-3.7599534736402242E-3</v>
      </c>
      <c r="H46" s="6">
        <f t="shared" si="1"/>
        <v>-3759.9534736402243</v>
      </c>
    </row>
    <row r="47" spans="1:8" x14ac:dyDescent="0.25">
      <c r="A47" s="2">
        <f>'Historical Prices'!A45</f>
        <v>45170</v>
      </c>
      <c r="B47" s="3">
        <f>'Historical Prices'!C45/'Historical Prices'!C44-1</f>
        <v>2.0681215367197581E-3</v>
      </c>
      <c r="C47" s="3">
        <f>'Historical Prices'!B45/'Historical Prices'!B44-1</f>
        <v>1.813049613226636E-2</v>
      </c>
      <c r="D47" s="3">
        <f>'Historical Prices'!D45/'Historical Prices'!D44-1</f>
        <v>1.0378103819796758E-2</v>
      </c>
      <c r="E47" s="3">
        <f>'Historical Prices'!E45/'Historical Prices'!E44-1</f>
        <v>5.8518556254378851E-3</v>
      </c>
      <c r="F47" s="3">
        <f>'Historical Prices'!F45/'Historical Prices'!F44-1</f>
        <v>1.0505203188634793E-2</v>
      </c>
      <c r="G47" s="9">
        <f t="shared" si="0"/>
        <v>9.2474515198047776E-3</v>
      </c>
      <c r="H47" s="6">
        <f t="shared" si="1"/>
        <v>9247.4515198047775</v>
      </c>
    </row>
    <row r="48" spans="1:8" x14ac:dyDescent="0.25">
      <c r="A48" s="2">
        <f>'Historical Prices'!A46</f>
        <v>45173</v>
      </c>
      <c r="B48" s="3">
        <f>'Historical Prices'!C46/'Historical Prices'!C45-1</f>
        <v>6.2552733785843362E-3</v>
      </c>
      <c r="C48" s="3">
        <f>'Historical Prices'!B46/'Historical Prices'!B45-1</f>
        <v>-8.9795575714516351E-3</v>
      </c>
      <c r="D48" s="3">
        <f>'Historical Prices'!D46/'Historical Prices'!D45-1</f>
        <v>-1.3936352458748802E-3</v>
      </c>
      <c r="E48" s="3">
        <f>'Historical Prices'!E46/'Historical Prices'!E45-1</f>
        <v>1.4717562875967038E-2</v>
      </c>
      <c r="F48" s="3">
        <f>'Historical Prices'!F46/'Historical Prices'!F45-1</f>
        <v>-9.7678146545625566E-3</v>
      </c>
      <c r="G48" s="9">
        <f t="shared" si="0"/>
        <v>1.7103713761161782E-4</v>
      </c>
      <c r="H48" s="6">
        <f t="shared" si="1"/>
        <v>171.03713761161782</v>
      </c>
    </row>
    <row r="49" spans="1:8" x14ac:dyDescent="0.25">
      <c r="A49" s="2">
        <f>'Historical Prices'!A47</f>
        <v>45174</v>
      </c>
      <c r="B49" s="3">
        <f>'Historical Prices'!C47/'Historical Prices'!C46-1</f>
        <v>-6.0901552479909471E-3</v>
      </c>
      <c r="C49" s="3">
        <f>'Historical Prices'!B47/'Historical Prices'!B46-1</f>
        <v>-8.1446757514636037E-4</v>
      </c>
      <c r="D49" s="3">
        <f>'Historical Prices'!D47/'Historical Prices'!D46-1</f>
        <v>1.0854871755041628E-3</v>
      </c>
      <c r="E49" s="3">
        <f>'Historical Prices'!E47/'Historical Prices'!E46-1</f>
        <v>9.419164784418399E-3</v>
      </c>
      <c r="F49" s="3">
        <f>'Historical Prices'!F47/'Historical Prices'!F46-1</f>
        <v>-3.3303786469297547E-3</v>
      </c>
      <c r="G49" s="9">
        <f t="shared" si="0"/>
        <v>-9.2199545845756781E-5</v>
      </c>
      <c r="H49" s="6">
        <f t="shared" si="1"/>
        <v>-92.199545845756774</v>
      </c>
    </row>
    <row r="50" spans="1:8" x14ac:dyDescent="0.25">
      <c r="A50" s="2">
        <f>'Historical Prices'!A48</f>
        <v>45175</v>
      </c>
      <c r="B50" s="3">
        <f>'Historical Prices'!C48/'Historical Prices'!C47-1</f>
        <v>1.3080203375391619E-2</v>
      </c>
      <c r="C50" s="3">
        <f>'Historical Prices'!B48/'Historical Prices'!B47-1</f>
        <v>-1.6709945850733932E-2</v>
      </c>
      <c r="D50" s="3">
        <f>'Historical Prices'!D48/'Historical Prices'!D47-1</f>
        <v>-1.1255636991688855E-2</v>
      </c>
      <c r="E50" s="3">
        <f>'Historical Prices'!E48/'Historical Prices'!E47-1</f>
        <v>-9.805869549636137E-4</v>
      </c>
      <c r="F50" s="3">
        <f>'Historical Prices'!F48/'Historical Prices'!F47-1</f>
        <v>3.7233708827377754E-3</v>
      </c>
      <c r="G50" s="9">
        <f t="shared" si="0"/>
        <v>-2.3535851778414807E-3</v>
      </c>
      <c r="H50" s="6">
        <f t="shared" si="1"/>
        <v>-2353.5851778414808</v>
      </c>
    </row>
    <row r="51" spans="1:8" x14ac:dyDescent="0.25">
      <c r="A51" s="2">
        <f>'Historical Prices'!A49</f>
        <v>45176</v>
      </c>
      <c r="B51" s="3">
        <f>'Historical Prices'!C49/'Historical Prices'!C48-1</f>
        <v>9.6208671373014809E-3</v>
      </c>
      <c r="C51" s="3">
        <f>'Historical Prices'!B49/'Historical Prices'!B48-1</f>
        <v>1.3626245995664865E-2</v>
      </c>
      <c r="D51" s="3">
        <f>'Historical Prices'!D49/'Historical Prices'!D48-1</f>
        <v>8.5116922820407392E-3</v>
      </c>
      <c r="E51" s="3">
        <f>'Historical Prices'!E49/'Historical Prices'!E48-1</f>
        <v>-7.6144552228002427E-3</v>
      </c>
      <c r="F51" s="3">
        <f>'Historical Prices'!F49/'Historical Prices'!F48-1</f>
        <v>-7.1338219472130149E-3</v>
      </c>
      <c r="G51" s="9">
        <f t="shared" si="0"/>
        <v>3.6974415264891718E-3</v>
      </c>
      <c r="H51" s="6">
        <f t="shared" si="1"/>
        <v>3697.4415264891718</v>
      </c>
    </row>
    <row r="52" spans="1:8" x14ac:dyDescent="0.25">
      <c r="A52" s="2">
        <f>'Historical Prices'!A50</f>
        <v>45177</v>
      </c>
      <c r="B52" s="3">
        <f>'Historical Prices'!C50/'Historical Prices'!C49-1</f>
        <v>7.7908599315084093E-3</v>
      </c>
      <c r="C52" s="3">
        <f>'Historical Prices'!B50/'Historical Prices'!B49-1</f>
        <v>2.1468603863386004E-3</v>
      </c>
      <c r="D52" s="3">
        <f>'Historical Prices'!D50/'Historical Prices'!D49-1</f>
        <v>5.0743301553148878E-3</v>
      </c>
      <c r="E52" s="3">
        <f>'Historical Prices'!E50/'Historical Prices'!E49-1</f>
        <v>2.3188672645928499E-3</v>
      </c>
      <c r="F52" s="3">
        <f>'Historical Prices'!F50/'Historical Prices'!F49-1</f>
        <v>1.1497022389594935E-3</v>
      </c>
      <c r="G52" s="9">
        <f t="shared" si="0"/>
        <v>3.8419908098338441E-3</v>
      </c>
      <c r="H52" s="6">
        <f t="shared" si="1"/>
        <v>3841.9908098338442</v>
      </c>
    </row>
    <row r="53" spans="1:8" x14ac:dyDescent="0.25">
      <c r="A53" s="2">
        <f>'Historical Prices'!A51</f>
        <v>45180</v>
      </c>
      <c r="B53" s="3">
        <f>'Historical Prices'!C51/'Historical Prices'!C50-1</f>
        <v>5.1743552198666443E-3</v>
      </c>
      <c r="C53" s="3">
        <f>'Historical Prices'!B51/'Historical Prices'!B50-1</f>
        <v>2.0503921009007886E-2</v>
      </c>
      <c r="D53" s="3">
        <f>'Historical Prices'!D51/'Historical Prices'!D50-1</f>
        <v>7.9336063553419045E-3</v>
      </c>
      <c r="E53" s="3">
        <f>'Historical Prices'!E51/'Historical Prices'!E50-1</f>
        <v>4.6611520839190401E-3</v>
      </c>
      <c r="F53" s="3">
        <f>'Historical Prices'!F51/'Historical Prices'!F50-1</f>
        <v>9.2819017179388563E-3</v>
      </c>
      <c r="G53" s="9">
        <f t="shared" si="0"/>
        <v>9.3256724847527138E-3</v>
      </c>
      <c r="H53" s="6">
        <f t="shared" si="1"/>
        <v>9325.672484752713</v>
      </c>
    </row>
    <row r="54" spans="1:8" x14ac:dyDescent="0.25">
      <c r="A54" s="2">
        <f>'Historical Prices'!A52</f>
        <v>45181</v>
      </c>
      <c r="B54" s="3">
        <f>'Historical Prices'!C52/'Historical Prices'!C51-1</f>
        <v>3.1253813465241809E-3</v>
      </c>
      <c r="C54" s="3">
        <f>'Historical Prices'!B52/'Historical Prices'!B51-1</f>
        <v>4.9983735257086437E-4</v>
      </c>
      <c r="D54" s="3">
        <f>'Historical Prices'!D52/'Historical Prices'!D51-1</f>
        <v>1.252233436121486E-2</v>
      </c>
      <c r="E54" s="3">
        <f>'Historical Prices'!E52/'Historical Prices'!E51-1</f>
        <v>1.6695552381474688E-2</v>
      </c>
      <c r="F54" s="3">
        <f>'Historical Prices'!F52/'Historical Prices'!F51-1</f>
        <v>-1.5264548482194717E-2</v>
      </c>
      <c r="G54" s="9">
        <f t="shared" si="0"/>
        <v>3.735727750130171E-3</v>
      </c>
      <c r="H54" s="6">
        <f t="shared" si="1"/>
        <v>3735.727750130171</v>
      </c>
    </row>
    <row r="55" spans="1:8" x14ac:dyDescent="0.25">
      <c r="A55" s="2">
        <f>'Historical Prices'!A53</f>
        <v>45182</v>
      </c>
      <c r="B55" s="3">
        <f>'Historical Prices'!C53/'Historical Prices'!C52-1</f>
        <v>4.2763875479232549E-3</v>
      </c>
      <c r="C55" s="3">
        <f>'Historical Prices'!B53/'Historical Prices'!B52-1</f>
        <v>1.3537767554151703E-2</v>
      </c>
      <c r="D55" s="3">
        <f>'Historical Prices'!D53/'Historical Prices'!D52-1</f>
        <v>-7.0668159904441197E-4</v>
      </c>
      <c r="E55" s="3">
        <f>'Historical Prices'!E53/'Historical Prices'!E52-1</f>
        <v>-1.8320574659649314E-3</v>
      </c>
      <c r="F55" s="3">
        <f>'Historical Prices'!F53/'Historical Prices'!F52-1</f>
        <v>-1.3479275473265995E-2</v>
      </c>
      <c r="G55" s="9">
        <f t="shared" si="0"/>
        <v>2.9417044750064706E-4</v>
      </c>
      <c r="H55" s="6">
        <f t="shared" si="1"/>
        <v>294.17044750064707</v>
      </c>
    </row>
    <row r="56" spans="1:8" x14ac:dyDescent="0.25">
      <c r="A56" s="2">
        <f>'Historical Prices'!A54</f>
        <v>45183</v>
      </c>
      <c r="B56" s="3">
        <f>'Historical Prices'!C54/'Historical Prices'!C53-1</f>
        <v>-6.0837760388721129E-4</v>
      </c>
      <c r="C56" s="3">
        <f>'Historical Prices'!B54/'Historical Prices'!B53-1</f>
        <v>6.3580746184639381E-3</v>
      </c>
      <c r="D56" s="3">
        <f>'Historical Prices'!D54/'Historical Prices'!D53-1</f>
        <v>-2.1216072565439781E-3</v>
      </c>
      <c r="E56" s="3">
        <f>'Historical Prices'!E54/'Historical Prices'!E53-1</f>
        <v>5.7397174477555879E-3</v>
      </c>
      <c r="F56" s="3">
        <f>'Historical Prices'!F54/'Historical Prices'!F53-1</f>
        <v>1.8901131427448092E-2</v>
      </c>
      <c r="G56" s="9">
        <f t="shared" si="0"/>
        <v>5.2641725757108038E-3</v>
      </c>
      <c r="H56" s="6">
        <f t="shared" si="1"/>
        <v>5264.1725757108034</v>
      </c>
    </row>
    <row r="57" spans="1:8" x14ac:dyDescent="0.25">
      <c r="A57" s="2">
        <f>'Historical Prices'!A55</f>
        <v>45184</v>
      </c>
      <c r="B57" s="3">
        <f>'Historical Prices'!C55/'Historical Prices'!C54-1</f>
        <v>1.1473715551519881E-2</v>
      </c>
      <c r="C57" s="3">
        <f>'Historical Prices'!B55/'Historical Prices'!B54-1</f>
        <v>6.1221165565759073E-3</v>
      </c>
      <c r="D57" s="3">
        <f>'Historical Prices'!D55/'Historical Prices'!D54-1</f>
        <v>4.8091639943985687E-3</v>
      </c>
      <c r="E57" s="3">
        <f>'Historical Prices'!E55/'Historical Prices'!E54-1</f>
        <v>3.0858280827721352E-3</v>
      </c>
      <c r="F57" s="3">
        <f>'Historical Prices'!F55/'Historical Prices'!F54-1</f>
        <v>2.2413854883582829E-2</v>
      </c>
      <c r="G57" s="9">
        <f t="shared" si="0"/>
        <v>9.5340270347014991E-3</v>
      </c>
      <c r="H57" s="6">
        <f t="shared" si="1"/>
        <v>9534.0270347014994</v>
      </c>
    </row>
    <row r="58" spans="1:8" x14ac:dyDescent="0.25">
      <c r="A58" s="2">
        <f>'Historical Prices'!A56</f>
        <v>45187</v>
      </c>
      <c r="B58" s="3">
        <f>'Historical Prices'!C56/'Historical Prices'!C55-1</f>
        <v>-1.967814271916235E-2</v>
      </c>
      <c r="C58" s="3">
        <f>'Historical Prices'!B56/'Historical Prices'!B55-1</f>
        <v>-2.3365340480432373E-3</v>
      </c>
      <c r="D58" s="3">
        <f>'Historical Prices'!D56/'Historical Prices'!D55-1</f>
        <v>-2.2670988648242352E-3</v>
      </c>
      <c r="E58" s="3">
        <f>'Historical Prices'!E56/'Historical Prices'!E55-1</f>
        <v>-1.3098812162037343E-2</v>
      </c>
      <c r="F58" s="3">
        <f>'Historical Prices'!F56/'Historical Prices'!F55-1</f>
        <v>2.520133215926057E-2</v>
      </c>
      <c r="G58" s="9">
        <f t="shared" si="0"/>
        <v>-2.6397627952042656E-3</v>
      </c>
      <c r="H58" s="6">
        <f t="shared" si="1"/>
        <v>-2639.7627952042658</v>
      </c>
    </row>
    <row r="59" spans="1:8" x14ac:dyDescent="0.25">
      <c r="A59" s="2">
        <f>'Historical Prices'!A57</f>
        <v>45189</v>
      </c>
      <c r="B59" s="3">
        <f>'Historical Prices'!C57/'Historical Prices'!C56-1</f>
        <v>-4.0115378481266895E-2</v>
      </c>
      <c r="C59" s="3">
        <f>'Historical Prices'!B57/'Historical Prices'!B56-1</f>
        <v>2.4884002718910114E-3</v>
      </c>
      <c r="D59" s="3">
        <f>'Historical Prices'!D57/'Historical Prices'!D56-1</f>
        <v>-3.0802302853574215E-3</v>
      </c>
      <c r="E59" s="3">
        <f>'Historical Prices'!E57/'Historical Prices'!E56-1</f>
        <v>-1.0390254243729524E-3</v>
      </c>
      <c r="F59" s="3">
        <f>'Historical Prices'!F57/'Historical Prices'!F56-1</f>
        <v>-4.5386490241394739E-3</v>
      </c>
      <c r="G59" s="9">
        <f t="shared" si="0"/>
        <v>-9.75674103248147E-3</v>
      </c>
      <c r="H59" s="6">
        <f t="shared" si="1"/>
        <v>-9756.74103248147</v>
      </c>
    </row>
    <row r="60" spans="1:8" x14ac:dyDescent="0.25">
      <c r="A60" s="2">
        <f>'Historical Prices'!A58</f>
        <v>45190</v>
      </c>
      <c r="B60" s="3">
        <f>'Historical Prices'!C58/'Historical Prices'!C57-1</f>
        <v>-6.6189444794422236E-3</v>
      </c>
      <c r="C60" s="3">
        <f>'Historical Prices'!B58/'Historical Prices'!B57-1</f>
        <v>-1.2508550714745548E-2</v>
      </c>
      <c r="D60" s="3">
        <f>'Historical Prices'!D58/'Historical Prices'!D57-1</f>
        <v>-2.8212553075624758E-2</v>
      </c>
      <c r="E60" s="3">
        <f>'Historical Prices'!E58/'Historical Prices'!E57-1</f>
        <v>7.7167014554186952E-3</v>
      </c>
      <c r="F60" s="3">
        <f>'Historical Prices'!F58/'Historical Prices'!F57-1</f>
        <v>-3.105870351527551E-2</v>
      </c>
      <c r="G60" s="9">
        <f t="shared" si="0"/>
        <v>-1.4704397888199846E-2</v>
      </c>
      <c r="H60" s="6">
        <f t="shared" si="1"/>
        <v>-14704.397888199846</v>
      </c>
    </row>
    <row r="61" spans="1:8" x14ac:dyDescent="0.25">
      <c r="A61" s="2">
        <f>'Historical Prices'!A59</f>
        <v>45191</v>
      </c>
      <c r="B61" s="3">
        <f>'Historical Prices'!C59/'Historical Prices'!C58-1</f>
        <v>-1.5257291418574792E-2</v>
      </c>
      <c r="C61" s="3">
        <f>'Historical Prices'!B59/'Historical Prices'!B58-1</f>
        <v>3.7458620467334391E-3</v>
      </c>
      <c r="D61" s="3">
        <f>'Historical Prices'!D59/'Historical Prices'!D58-1</f>
        <v>-9.381897878916079E-3</v>
      </c>
      <c r="E61" s="3">
        <f>'Historical Prices'!E59/'Historical Prices'!E58-1</f>
        <v>-3.7289145673370383E-3</v>
      </c>
      <c r="F61" s="3">
        <f>'Historical Prices'!F59/'Historical Prices'!F58-1</f>
        <v>1.5095553167259634E-2</v>
      </c>
      <c r="G61" s="9">
        <f t="shared" si="0"/>
        <v>-2.4354936153559363E-3</v>
      </c>
      <c r="H61" s="6">
        <f t="shared" si="1"/>
        <v>-2435.4936153559361</v>
      </c>
    </row>
    <row r="62" spans="1:8" x14ac:dyDescent="0.25">
      <c r="A62" s="2">
        <f>'Historical Prices'!A60</f>
        <v>45194</v>
      </c>
      <c r="B62" s="3">
        <f>'Historical Prices'!C60/'Historical Prices'!C59-1</f>
        <v>8.8250778559562093E-4</v>
      </c>
      <c r="C62" s="3">
        <f>'Historical Prices'!B60/'Historical Prices'!B59-1</f>
        <v>6.8749322916561439E-4</v>
      </c>
      <c r="D62" s="3">
        <f>'Historical Prices'!D60/'Historical Prices'!D59-1</f>
        <v>6.366454741162153E-3</v>
      </c>
      <c r="E62" s="3">
        <f>'Historical Prices'!E60/'Historical Prices'!E59-1</f>
        <v>-1.4704413153455498E-2</v>
      </c>
      <c r="F62" s="3">
        <f>'Historical Prices'!F60/'Historical Prices'!F59-1</f>
        <v>-1.1013347353372116E-2</v>
      </c>
      <c r="G62" s="9">
        <f t="shared" si="0"/>
        <v>-3.0696574566645898E-3</v>
      </c>
      <c r="H62" s="6">
        <f t="shared" si="1"/>
        <v>-3069.65745666459</v>
      </c>
    </row>
    <row r="63" spans="1:8" x14ac:dyDescent="0.25">
      <c r="A63" s="2">
        <f>'Historical Prices'!A61</f>
        <v>45195</v>
      </c>
      <c r="B63" s="3">
        <f>'Historical Prices'!C61/'Historical Prices'!C60-1</f>
        <v>4.3436155995120185E-3</v>
      </c>
      <c r="C63" s="3">
        <f>'Historical Prices'!B61/'Historical Prices'!B60-1</f>
        <v>-4.7107946403722734E-3</v>
      </c>
      <c r="D63" s="3">
        <f>'Historical Prices'!D61/'Historical Prices'!D60-1</f>
        <v>-7.9991401995438416E-3</v>
      </c>
      <c r="E63" s="3">
        <f>'Historical Prices'!E61/'Historical Prices'!E60-1</f>
        <v>-9.1576368525643215E-3</v>
      </c>
      <c r="F63" s="3">
        <f>'Historical Prices'!F61/'Historical Prices'!F60-1</f>
        <v>3.6176173639332898E-3</v>
      </c>
      <c r="G63" s="9">
        <f t="shared" si="0"/>
        <v>-2.7664942995174347E-3</v>
      </c>
      <c r="H63" s="6">
        <f t="shared" si="1"/>
        <v>-2766.4942995174347</v>
      </c>
    </row>
    <row r="64" spans="1:8" x14ac:dyDescent="0.25">
      <c r="A64" s="2">
        <f>'Historical Prices'!A62</f>
        <v>45196</v>
      </c>
      <c r="B64" s="3">
        <f>'Historical Prices'!C62/'Historical Prices'!C61-1</f>
        <v>-7.0237451119320449E-3</v>
      </c>
      <c r="C64" s="3">
        <f>'Historical Prices'!B62/'Historical Prices'!B61-1</f>
        <v>1.0895774441922246E-2</v>
      </c>
      <c r="D64" s="3">
        <f>'Historical Prices'!D62/'Historical Prices'!D61-1</f>
        <v>-5.9028750642187156E-3</v>
      </c>
      <c r="E64" s="3">
        <f>'Historical Prices'!E62/'Historical Prices'!E61-1</f>
        <v>4.3472521524750007E-3</v>
      </c>
      <c r="F64" s="3">
        <f>'Historical Prices'!F62/'Historical Prices'!F61-1</f>
        <v>-3.761301551828633E-3</v>
      </c>
      <c r="G64" s="9">
        <f t="shared" si="0"/>
        <v>-7.4289219310476697E-4</v>
      </c>
      <c r="H64" s="6">
        <f t="shared" si="1"/>
        <v>-742.89219310476699</v>
      </c>
    </row>
    <row r="65" spans="1:8" x14ac:dyDescent="0.25">
      <c r="A65" s="2">
        <f>'Historical Prices'!A63</f>
        <v>45197</v>
      </c>
      <c r="B65" s="3">
        <f>'Historical Prices'!C63/'Historical Prices'!C62-1</f>
        <v>-2.0630724558494684E-3</v>
      </c>
      <c r="C65" s="3">
        <f>'Historical Prices'!B63/'Historical Prices'!B62-1</f>
        <v>5.5599359013374094E-3</v>
      </c>
      <c r="D65" s="3">
        <f>'Historical Prices'!D63/'Historical Prices'!D62-1</f>
        <v>-5.3013286620795519E-4</v>
      </c>
      <c r="E65" s="3">
        <f>'Historical Prices'!E63/'Historical Prices'!E62-1</f>
        <v>-1.8779815500945762E-2</v>
      </c>
      <c r="F65" s="3">
        <f>'Historical Prices'!F63/'Historical Prices'!F62-1</f>
        <v>-2.0859486967372276E-2</v>
      </c>
      <c r="G65" s="9">
        <f t="shared" si="0"/>
        <v>-7.0159945468049097E-3</v>
      </c>
      <c r="H65" s="6">
        <f t="shared" si="1"/>
        <v>-7015.99454680491</v>
      </c>
    </row>
    <row r="66" spans="1:8" x14ac:dyDescent="0.25">
      <c r="A66" s="2">
        <f>'Historical Prices'!A64</f>
        <v>45198</v>
      </c>
      <c r="B66" s="3">
        <f>'Historical Prices'!C64/'Historical Prices'!C63-1</f>
        <v>1.7064800727706331E-3</v>
      </c>
      <c r="C66" s="3">
        <f>'Historical Prices'!B64/'Historical Prices'!B63-1</f>
        <v>5.6260494910518322E-3</v>
      </c>
      <c r="D66" s="3">
        <f>'Historical Prices'!D64/'Historical Prices'!D63-1</f>
        <v>9.8663518516772797E-3</v>
      </c>
      <c r="E66" s="3">
        <f>'Historical Prices'!E64/'Historical Prices'!E63-1</f>
        <v>-2.778814529068141E-3</v>
      </c>
      <c r="F66" s="3">
        <f>'Historical Prices'!F64/'Historical Prices'!F63-1</f>
        <v>-1.1567886047907372E-3</v>
      </c>
      <c r="G66" s="9">
        <f t="shared" si="0"/>
        <v>2.9107303051435596E-3</v>
      </c>
      <c r="H66" s="6">
        <f t="shared" si="1"/>
        <v>2910.7303051435597</v>
      </c>
    </row>
    <row r="67" spans="1:8" x14ac:dyDescent="0.25">
      <c r="A67" s="2">
        <f>'Historical Prices'!A65</f>
        <v>45202</v>
      </c>
      <c r="B67" s="3">
        <f>'Historical Prices'!C65/'Historical Prices'!C64-1</f>
        <v>-1.1957084260876827E-2</v>
      </c>
      <c r="C67" s="3">
        <f>'Historical Prices'!B65/'Historical Prices'!B64-1</f>
        <v>4.196137160134672E-3</v>
      </c>
      <c r="D67" s="3">
        <f>'Historical Prices'!D65/'Historical Prices'!D64-1</f>
        <v>-1.2186208915733188E-2</v>
      </c>
      <c r="E67" s="3">
        <f>'Historical Prices'!E65/'Historical Prices'!E64-1</f>
        <v>-1.0101751284915528E-3</v>
      </c>
      <c r="F67" s="3">
        <f>'Historical Prices'!F65/'Historical Prices'!F64-1</f>
        <v>-1.0841164124052782E-2</v>
      </c>
      <c r="G67" s="9">
        <f t="shared" si="0"/>
        <v>-6.8018584397786181E-3</v>
      </c>
      <c r="H67" s="6">
        <f t="shared" si="1"/>
        <v>-6801.858439778618</v>
      </c>
    </row>
    <row r="68" spans="1:8" x14ac:dyDescent="0.25">
      <c r="A68" s="2">
        <f>'Historical Prices'!A66</f>
        <v>45203</v>
      </c>
      <c r="B68" s="3">
        <f>'Historical Prices'!C66/'Historical Prices'!C65-1</f>
        <v>1.4256853812828485E-2</v>
      </c>
      <c r="C68" s="3">
        <f>'Historical Prices'!B66/'Historical Prices'!B65-1</f>
        <v>-4.3705960612689831E-2</v>
      </c>
      <c r="D68" s="3">
        <f>'Historical Prices'!D66/'Historical Prices'!D65-1</f>
        <v>-1.090075064993612E-2</v>
      </c>
      <c r="E68" s="3">
        <f>'Historical Prices'!E66/'Historical Prices'!E65-1</f>
        <v>7.2175129110729763E-3</v>
      </c>
      <c r="F68" s="3">
        <f>'Historical Prices'!F66/'Historical Prices'!F65-1</f>
        <v>-9.9520224755985653E-3</v>
      </c>
      <c r="G68" s="9">
        <f t="shared" si="0"/>
        <v>-8.126815101645422E-3</v>
      </c>
      <c r="H68" s="6">
        <f t="shared" si="1"/>
        <v>-8126.8151016454221</v>
      </c>
    </row>
    <row r="69" spans="1:8" x14ac:dyDescent="0.25">
      <c r="A69" s="2">
        <f>'Historical Prices'!A67</f>
        <v>45204</v>
      </c>
      <c r="B69" s="3">
        <f>'Historical Prices'!C67/'Historical Prices'!C66-1</f>
        <v>4.0535166886883633E-3</v>
      </c>
      <c r="C69" s="3">
        <f>'Historical Prices'!B67/'Historical Prices'!B66-1</f>
        <v>7.7344918847013222E-3</v>
      </c>
      <c r="D69" s="3">
        <f>'Historical Prices'!D67/'Historical Prices'!D66-1</f>
        <v>1.1612268950905724E-2</v>
      </c>
      <c r="E69" s="3">
        <f>'Historical Prices'!E67/'Historical Prices'!E66-1</f>
        <v>1.3224055350962827E-2</v>
      </c>
      <c r="F69" s="3">
        <f>'Historical Prices'!F67/'Historical Prices'!F66-1</f>
        <v>1.0413231913568799E-2</v>
      </c>
      <c r="G69" s="9">
        <f t="shared" si="0"/>
        <v>9.372140239469565E-3</v>
      </c>
      <c r="H69" s="6">
        <f t="shared" si="1"/>
        <v>9372.1402394695651</v>
      </c>
    </row>
    <row r="70" spans="1:8" x14ac:dyDescent="0.25">
      <c r="A70" s="2">
        <f>'Historical Prices'!A68</f>
        <v>45205</v>
      </c>
      <c r="B70" s="3">
        <f>'Historical Prices'!C68/'Historical Prices'!C67-1</f>
        <v>-1.1069503281877502E-3</v>
      </c>
      <c r="C70" s="3">
        <f>'Historical Prices'!B68/'Historical Prices'!B67-1</f>
        <v>-2.2925495159408227E-3</v>
      </c>
      <c r="D70" s="3">
        <f>'Historical Prices'!D68/'Historical Prices'!D67-1</f>
        <v>4.6235579640281355E-3</v>
      </c>
      <c r="E70" s="3">
        <f>'Historical Prices'!E68/'Historical Prices'!E67-1</f>
        <v>1.0420540388293098E-2</v>
      </c>
      <c r="F70" s="3">
        <f>'Historical Prices'!F68/'Historical Prices'!F67-1</f>
        <v>7.0874079440799154E-3</v>
      </c>
      <c r="G70" s="9">
        <f t="shared" ref="G70:G133" si="2">SUMPRODUCT(B70:F70, $B$2:$F$2)</f>
        <v>3.686460370854224E-3</v>
      </c>
      <c r="H70" s="6">
        <f t="shared" ref="H70:H133" si="3">G70*1000000</f>
        <v>3686.460370854224</v>
      </c>
    </row>
    <row r="71" spans="1:8" x14ac:dyDescent="0.25">
      <c r="A71" s="2">
        <f>'Historical Prices'!A69</f>
        <v>45208</v>
      </c>
      <c r="B71" s="3">
        <f>'Historical Prices'!C69/'Historical Prices'!C68-1</f>
        <v>-1.1603323982596225E-2</v>
      </c>
      <c r="C71" s="3">
        <f>'Historical Prices'!B69/'Historical Prices'!B68-1</f>
        <v>-4.6955717459598034E-3</v>
      </c>
      <c r="D71" s="3">
        <f>'Historical Prices'!D69/'Historical Prices'!D68-1</f>
        <v>-6.9826427046701944E-3</v>
      </c>
      <c r="E71" s="3">
        <f>'Historical Prices'!E69/'Historical Prices'!E68-1</f>
        <v>-2.1979080945581098E-3</v>
      </c>
      <c r="F71" s="3">
        <f>'Historical Prices'!F69/'Historical Prices'!F68-1</f>
        <v>-2.1725737851356897E-2</v>
      </c>
      <c r="G71" s="9">
        <f t="shared" si="2"/>
        <v>-9.4978753972321285E-3</v>
      </c>
      <c r="H71" s="6">
        <f t="shared" si="3"/>
        <v>-9497.8753972321283</v>
      </c>
    </row>
    <row r="72" spans="1:8" x14ac:dyDescent="0.25">
      <c r="A72" s="2">
        <f>'Historical Prices'!A70</f>
        <v>45209</v>
      </c>
      <c r="B72" s="3">
        <f>'Historical Prices'!C70/'Historical Prices'!C69-1</f>
        <v>5.6718501048877989E-3</v>
      </c>
      <c r="C72" s="3">
        <f>'Historical Prices'!B70/'Historical Prices'!B69-1</f>
        <v>1.6060196443182129E-2</v>
      </c>
      <c r="D72" s="3">
        <f>'Historical Prices'!D70/'Historical Prices'!D69-1</f>
        <v>1.3424236354965702E-2</v>
      </c>
      <c r="E72" s="3">
        <f>'Historical Prices'!E70/'Historical Prices'!E69-1</f>
        <v>1.3351997866183796E-2</v>
      </c>
      <c r="F72" s="3">
        <f>'Historical Prices'!F70/'Historical Prices'!F69-1</f>
        <v>1.4948440313703015E-2</v>
      </c>
      <c r="G72" s="9">
        <f t="shared" si="2"/>
        <v>1.2558564167934792E-2</v>
      </c>
      <c r="H72" s="6">
        <f t="shared" si="3"/>
        <v>12558.564167934792</v>
      </c>
    </row>
    <row r="73" spans="1:8" x14ac:dyDescent="0.25">
      <c r="A73" s="2">
        <f>'Historical Prices'!A71</f>
        <v>45210</v>
      </c>
      <c r="B73" s="3">
        <f>'Historical Prices'!C71/'Historical Prices'!C70-1</f>
        <v>9.6730997100686889E-3</v>
      </c>
      <c r="C73" s="3">
        <f>'Historical Prices'!B71/'Historical Prices'!B70-1</f>
        <v>6.7671791899950318E-3</v>
      </c>
      <c r="D73" s="3">
        <f>'Historical Prices'!D71/'Historical Prices'!D70-1</f>
        <v>1.9974421481010474E-3</v>
      </c>
      <c r="E73" s="3">
        <f>'Historical Prices'!E71/'Historical Prices'!E70-1</f>
        <v>-5.0165667855428531E-4</v>
      </c>
      <c r="F73" s="3">
        <f>'Historical Prices'!F71/'Historical Prices'!F70-1</f>
        <v>1.1997348076377978E-2</v>
      </c>
      <c r="G73" s="9">
        <f t="shared" si="2"/>
        <v>5.9614519237969031E-3</v>
      </c>
      <c r="H73" s="6">
        <f t="shared" si="3"/>
        <v>5961.4519237969034</v>
      </c>
    </row>
    <row r="74" spans="1:8" x14ac:dyDescent="0.25">
      <c r="A74" s="2">
        <f>'Historical Prices'!A72</f>
        <v>45211</v>
      </c>
      <c r="B74" s="3">
        <f>'Historical Prices'!C72/'Historical Prices'!C71-1</f>
        <v>6.6575527809082935E-3</v>
      </c>
      <c r="C74" s="3">
        <f>'Historical Prices'!B72/'Historical Prices'!B71-1</f>
        <v>-6.3781123164929898E-4</v>
      </c>
      <c r="D74" s="3">
        <f>'Historical Prices'!D72/'Historical Prices'!D71-1</f>
        <v>1.2066043653702341E-3</v>
      </c>
      <c r="E74" s="3">
        <f>'Historical Prices'!E72/'Historical Prices'!E71-1</f>
        <v>-1.9339008999245677E-2</v>
      </c>
      <c r="F74" s="3">
        <f>'Historical Prices'!F72/'Historical Prices'!F71-1</f>
        <v>6.6502848811387238E-3</v>
      </c>
      <c r="G74" s="9">
        <f t="shared" si="2"/>
        <v>-7.197717300203286E-4</v>
      </c>
      <c r="H74" s="6">
        <f t="shared" si="3"/>
        <v>-719.77173002032862</v>
      </c>
    </row>
    <row r="75" spans="1:8" x14ac:dyDescent="0.25">
      <c r="A75" s="2">
        <f>'Historical Prices'!A73</f>
        <v>45212</v>
      </c>
      <c r="B75" s="3">
        <f>'Historical Prices'!C73/'Historical Prices'!C72-1</f>
        <v>-9.0975628293723521E-3</v>
      </c>
      <c r="C75" s="3">
        <f>'Historical Prices'!B73/'Historical Prices'!B72-1</f>
        <v>-2.3958056370583236E-2</v>
      </c>
      <c r="D75" s="3">
        <f>'Historical Prices'!D73/'Historical Prices'!D72-1</f>
        <v>-3.0914466653991779E-3</v>
      </c>
      <c r="E75" s="3">
        <f>'Historical Prices'!E73/'Historical Prices'!E72-1</f>
        <v>-2.3438988524277171E-2</v>
      </c>
      <c r="F75" s="3">
        <f>'Historical Prices'!F73/'Historical Prices'!F72-1</f>
        <v>-2.6808043900237166E-3</v>
      </c>
      <c r="G75" s="9">
        <f t="shared" si="2"/>
        <v>-1.1868725969981628E-2</v>
      </c>
      <c r="H75" s="6">
        <f t="shared" si="3"/>
        <v>-11868.725969981628</v>
      </c>
    </row>
    <row r="76" spans="1:8" x14ac:dyDescent="0.25">
      <c r="A76" s="2">
        <f>'Historical Prices'!A74</f>
        <v>45215</v>
      </c>
      <c r="B76" s="3">
        <f>'Historical Prices'!C74/'Historical Prices'!C73-1</f>
        <v>-4.0046117534632275E-3</v>
      </c>
      <c r="C76" s="3">
        <f>'Historical Prices'!B74/'Historical Prices'!B73-1</f>
        <v>1.0814322031018619E-2</v>
      </c>
      <c r="D76" s="3">
        <f>'Historical Prices'!D74/'Historical Prices'!D73-1</f>
        <v>1.0521785883765844E-4</v>
      </c>
      <c r="E76" s="3">
        <f>'Historical Prices'!E74/'Historical Prices'!E73-1</f>
        <v>2.0961742522898064E-3</v>
      </c>
      <c r="F76" s="3">
        <f>'Historical Prices'!F74/'Historical Prices'!F73-1</f>
        <v>7.7443335015197068E-3</v>
      </c>
      <c r="G76" s="9">
        <f t="shared" si="2"/>
        <v>3.0536907125401067E-3</v>
      </c>
      <c r="H76" s="6">
        <f t="shared" si="3"/>
        <v>3053.6907125401067</v>
      </c>
    </row>
    <row r="77" spans="1:8" x14ac:dyDescent="0.25">
      <c r="A77" s="2">
        <f>'Historical Prices'!A75</f>
        <v>45216</v>
      </c>
      <c r="B77" s="3">
        <f>'Historical Prices'!C75/'Historical Prices'!C74-1</f>
        <v>7.58361407287933E-3</v>
      </c>
      <c r="C77" s="3">
        <f>'Historical Prices'!B75/'Historical Prices'!B74-1</f>
        <v>3.2345030217564297E-3</v>
      </c>
      <c r="D77" s="3">
        <f>'Historical Prices'!D75/'Historical Prices'!D74-1</f>
        <v>2.6276710688695193E-3</v>
      </c>
      <c r="E77" s="3">
        <f>'Historical Prices'!E75/'Historical Prices'!E74-1</f>
        <v>5.7874589182949077E-3</v>
      </c>
      <c r="F77" s="3">
        <f>'Historical Prices'!F75/'Historical Prices'!F74-1</f>
        <v>1.301817445339859E-3</v>
      </c>
      <c r="G77" s="9">
        <f t="shared" si="2"/>
        <v>4.1090120182304072E-3</v>
      </c>
      <c r="H77" s="6">
        <f t="shared" si="3"/>
        <v>4109.0120182304072</v>
      </c>
    </row>
    <row r="78" spans="1:8" x14ac:dyDescent="0.25">
      <c r="A78" s="2">
        <f>'Historical Prices'!A76</f>
        <v>45217</v>
      </c>
      <c r="B78" s="3">
        <f>'Historical Prices'!C76/'Historical Prices'!C75-1</f>
        <v>-1.3917610196073293E-2</v>
      </c>
      <c r="C78" s="3">
        <f>'Historical Prices'!B76/'Historical Prices'!B75-1</f>
        <v>-1.5078638448856152E-2</v>
      </c>
      <c r="D78" s="3">
        <f>'Historical Prices'!D76/'Historical Prices'!D75-1</f>
        <v>-1.0640600216184182E-2</v>
      </c>
      <c r="E78" s="3">
        <f>'Historical Prices'!E76/'Historical Prices'!E75-1</f>
        <v>-1.3171707061606641E-3</v>
      </c>
      <c r="F78" s="3">
        <f>'Historical Prices'!F76/'Historical Prices'!F75-1</f>
        <v>-1.11001193906346E-3</v>
      </c>
      <c r="G78" s="9">
        <f t="shared" si="2"/>
        <v>-8.5913202214148877E-3</v>
      </c>
      <c r="H78" s="6">
        <f t="shared" si="3"/>
        <v>-8591.3202214148878</v>
      </c>
    </row>
    <row r="79" spans="1:8" x14ac:dyDescent="0.25">
      <c r="A79" s="2">
        <f>'Historical Prices'!A77</f>
        <v>45218</v>
      </c>
      <c r="B79" s="3">
        <f>'Historical Prices'!C77/'Historical Prices'!C76-1</f>
        <v>-3.1585159261662277E-3</v>
      </c>
      <c r="C79" s="3">
        <f>'Historical Prices'!B77/'Historical Prices'!B76-1</f>
        <v>-1.460323243024364E-3</v>
      </c>
      <c r="D79" s="3">
        <f>'Historical Prices'!D77/'Historical Prices'!D76-1</f>
        <v>-8.4768137468093085E-3</v>
      </c>
      <c r="E79" s="3">
        <f>'Historical Prices'!E77/'Historical Prices'!E76-1</f>
        <v>-4.7898898628050413E-3</v>
      </c>
      <c r="F79" s="3">
        <f>'Historical Prices'!F77/'Historical Prices'!F76-1</f>
        <v>-3.3653907333647259E-3</v>
      </c>
      <c r="G79" s="9">
        <f t="shared" si="2"/>
        <v>-4.3990755351006406E-3</v>
      </c>
      <c r="H79" s="6">
        <f t="shared" si="3"/>
        <v>-4399.075535100641</v>
      </c>
    </row>
    <row r="80" spans="1:8" x14ac:dyDescent="0.25">
      <c r="A80" s="2">
        <f>'Historical Prices'!A78</f>
        <v>45219</v>
      </c>
      <c r="B80" s="3">
        <f>'Historical Prices'!C78/'Historical Prices'!C77-1</f>
        <v>5.1817434866570089E-3</v>
      </c>
      <c r="C80" s="3">
        <f>'Historical Prices'!B78/'Historical Prices'!B77-1</f>
        <v>-1.1145926467531653E-2</v>
      </c>
      <c r="D80" s="3">
        <f>'Historical Prices'!D78/'Historical Prices'!D77-1</f>
        <v>-3.2059816644991468E-3</v>
      </c>
      <c r="E80" s="3">
        <f>'Historical Prices'!E78/'Historical Prices'!E77-1</f>
        <v>-4.4642213701231448E-3</v>
      </c>
      <c r="F80" s="3">
        <f>'Historical Prices'!F78/'Historical Prices'!F77-1</f>
        <v>-7.1994449589919407E-3</v>
      </c>
      <c r="G80" s="9">
        <f t="shared" si="2"/>
        <v>-3.9052155551384479E-3</v>
      </c>
      <c r="H80" s="6">
        <f t="shared" si="3"/>
        <v>-3905.2155551384481</v>
      </c>
    </row>
    <row r="81" spans="1:8" x14ac:dyDescent="0.25">
      <c r="A81" s="2">
        <f>'Historical Prices'!A79</f>
        <v>45222</v>
      </c>
      <c r="B81" s="3">
        <f>'Historical Prices'!C79/'Historical Prices'!C78-1</f>
        <v>-1.0999470993331206E-2</v>
      </c>
      <c r="C81" s="3">
        <f>'Historical Prices'!B79/'Historical Prices'!B78-1</f>
        <v>-1.6371659186556364E-2</v>
      </c>
      <c r="D81" s="3">
        <f>'Historical Prices'!D79/'Historical Prices'!D78-1</f>
        <v>-3.0018735049485157E-3</v>
      </c>
      <c r="E81" s="3">
        <f>'Historical Prices'!E79/'Historical Prices'!E78-1</f>
        <v>-1.3031925919930409E-2</v>
      </c>
      <c r="F81" s="3">
        <f>'Historical Prices'!F79/'Historical Prices'!F78-1</f>
        <v>4.4281092377873588E-3</v>
      </c>
      <c r="G81" s="9">
        <f t="shared" si="2"/>
        <v>-7.5622184120483407E-3</v>
      </c>
      <c r="H81" s="6">
        <f t="shared" si="3"/>
        <v>-7562.2184120483407</v>
      </c>
    </row>
    <row r="82" spans="1:8" x14ac:dyDescent="0.25">
      <c r="A82" s="2">
        <f>'Historical Prices'!A80</f>
        <v>45224</v>
      </c>
      <c r="B82" s="3">
        <f>'Historical Prices'!C80/'Historical Prices'!C79-1</f>
        <v>-6.3410599950565194E-3</v>
      </c>
      <c r="C82" s="3">
        <f>'Historical Prices'!B80/'Historical Prices'!B79-1</f>
        <v>-9.1776222122174067E-3</v>
      </c>
      <c r="D82" s="3">
        <f>'Historical Prices'!D80/'Historical Prices'!D79-1</f>
        <v>-1.48933110101509E-2</v>
      </c>
      <c r="E82" s="3">
        <f>'Historical Prices'!E80/'Historical Prices'!E79-1</f>
        <v>-1.481329077450777E-2</v>
      </c>
      <c r="F82" s="3">
        <f>'Historical Prices'!F80/'Historical Prices'!F79-1</f>
        <v>2.5236400693060546E-3</v>
      </c>
      <c r="G82" s="9">
        <f t="shared" si="2"/>
        <v>-8.66404050299803E-3</v>
      </c>
      <c r="H82" s="6">
        <f t="shared" si="3"/>
        <v>-8664.0405029980302</v>
      </c>
    </row>
    <row r="83" spans="1:8" x14ac:dyDescent="0.25">
      <c r="A83" s="2">
        <f>'Historical Prices'!A81</f>
        <v>45225</v>
      </c>
      <c r="B83" s="3">
        <f>'Historical Prices'!C81/'Historical Prices'!C80-1</f>
        <v>-2.2118408219492958E-2</v>
      </c>
      <c r="C83" s="3">
        <f>'Historical Prices'!B81/'Historical Prices'!B80-1</f>
        <v>1.7373988905794668E-2</v>
      </c>
      <c r="D83" s="3">
        <f>'Historical Prices'!D81/'Historical Prices'!D80-1</f>
        <v>-8.1322076655824249E-3</v>
      </c>
      <c r="E83" s="3">
        <f>'Historical Prices'!E81/'Historical Prices'!E80-1</f>
        <v>-7.7369061309146003E-3</v>
      </c>
      <c r="F83" s="3">
        <f>'Historical Prices'!F81/'Historical Prices'!F80-1</f>
        <v>-4.0150473674690268E-2</v>
      </c>
      <c r="G83" s="9">
        <f t="shared" si="2"/>
        <v>-1.2484305957400691E-2</v>
      </c>
      <c r="H83" s="6">
        <f t="shared" si="3"/>
        <v>-12484.305957400691</v>
      </c>
    </row>
    <row r="84" spans="1:8" x14ac:dyDescent="0.25">
      <c r="A84" s="2">
        <f>'Historical Prices'!A82</f>
        <v>45226</v>
      </c>
      <c r="B84" s="3">
        <f>'Historical Prices'!C82/'Historical Prices'!C81-1</f>
        <v>3.9293194659122399E-3</v>
      </c>
      <c r="C84" s="3">
        <f>'Historical Prices'!B82/'Historical Prices'!B81-1</f>
        <v>3.1582689364967553E-2</v>
      </c>
      <c r="D84" s="3">
        <f>'Historical Prices'!D82/'Historical Prices'!D81-1</f>
        <v>4.5121497159612556E-3</v>
      </c>
      <c r="E84" s="3">
        <f>'Historical Prices'!E82/'Historical Prices'!E81-1</f>
        <v>1.5373766719491755E-2</v>
      </c>
      <c r="F84" s="3">
        <f>'Historical Prices'!F82/'Historical Prices'!F81-1</f>
        <v>3.1207393902763503E-3</v>
      </c>
      <c r="G84" s="9">
        <f t="shared" si="2"/>
        <v>1.110843336979484E-2</v>
      </c>
      <c r="H84" s="6">
        <f t="shared" si="3"/>
        <v>11108.43336979484</v>
      </c>
    </row>
    <row r="85" spans="1:8" x14ac:dyDescent="0.25">
      <c r="A85" s="2">
        <f>'Historical Prices'!A83</f>
        <v>45229</v>
      </c>
      <c r="B85" s="3">
        <f>'Historical Prices'!C83/'Historical Prices'!C82-1</f>
        <v>1.0856466119273156E-2</v>
      </c>
      <c r="C85" s="3">
        <f>'Historical Prices'!B83/'Historical Prices'!B82-1</f>
        <v>-1.3512853904592004E-2</v>
      </c>
      <c r="D85" s="3">
        <f>'Historical Prices'!D83/'Historical Prices'!D82-1</f>
        <v>1.331142657441009E-2</v>
      </c>
      <c r="E85" s="3">
        <f>'Historical Prices'!E83/'Historical Prices'!E82-1</f>
        <v>-2.3905416273900526E-3</v>
      </c>
      <c r="F85" s="3">
        <f>'Historical Prices'!F83/'Historical Prices'!F82-1</f>
        <v>-8.6046838815617699E-3</v>
      </c>
      <c r="G85" s="9">
        <f t="shared" si="2"/>
        <v>7.3138531781785903E-4</v>
      </c>
      <c r="H85" s="6">
        <f t="shared" si="3"/>
        <v>731.385317817859</v>
      </c>
    </row>
    <row r="86" spans="1:8" x14ac:dyDescent="0.25">
      <c r="A86" s="2">
        <f>'Historical Prices'!A84</f>
        <v>45230</v>
      </c>
      <c r="B86" s="3">
        <f>'Historical Prices'!C84/'Historical Prices'!C83-1</f>
        <v>-5.7908180608902127E-3</v>
      </c>
      <c r="C86" s="3">
        <f>'Historical Prices'!B84/'Historical Prices'!B83-1</f>
        <v>-7.4302386107691909E-3</v>
      </c>
      <c r="D86" s="3">
        <f>'Historical Prices'!D84/'Historical Prices'!D83-1</f>
        <v>-1.0325448069402277E-2</v>
      </c>
      <c r="E86" s="3">
        <f>'Historical Prices'!E84/'Historical Prices'!E83-1</f>
        <v>-6.2816115062516165E-3</v>
      </c>
      <c r="F86" s="3">
        <f>'Historical Prices'!F84/'Historical Prices'!F83-1</f>
        <v>-2.6171817834393818E-2</v>
      </c>
      <c r="G86" s="9">
        <f t="shared" si="2"/>
        <v>-1.1150615158595835E-2</v>
      </c>
      <c r="H86" s="6">
        <f t="shared" si="3"/>
        <v>-11150.615158595836</v>
      </c>
    </row>
    <row r="87" spans="1:8" x14ac:dyDescent="0.25">
      <c r="A87" s="2">
        <f>'Historical Prices'!A85</f>
        <v>45231</v>
      </c>
      <c r="B87" s="3">
        <f>'Historical Prices'!C85/'Historical Prices'!C84-1</f>
        <v>-1.3545337552004488E-3</v>
      </c>
      <c r="C87" s="3">
        <f>'Historical Prices'!B85/'Historical Prices'!B84-1</f>
        <v>-1.0235777120836898E-2</v>
      </c>
      <c r="D87" s="3">
        <f>'Historical Prices'!D85/'Historical Prices'!D84-1</f>
        <v>-1.4202546589526799E-3</v>
      </c>
      <c r="E87" s="3">
        <f>'Historical Prices'!E85/'Historical Prices'!E84-1</f>
        <v>-1.0413595241557383E-2</v>
      </c>
      <c r="F87" s="3">
        <f>'Historical Prices'!F85/'Historical Prices'!F84-1</f>
        <v>-2.7422542095585367E-3</v>
      </c>
      <c r="G87" s="9">
        <f t="shared" si="2"/>
        <v>-4.9421214340188441E-3</v>
      </c>
      <c r="H87" s="6">
        <f t="shared" si="3"/>
        <v>-4942.1214340188444</v>
      </c>
    </row>
    <row r="88" spans="1:8" x14ac:dyDescent="0.25">
      <c r="A88" s="2">
        <f>'Historical Prices'!A86</f>
        <v>45232</v>
      </c>
      <c r="B88" s="3">
        <f>'Historical Prices'!C86/'Historical Prices'!C85-1</f>
        <v>1.5260038403421827E-3</v>
      </c>
      <c r="C88" s="3">
        <f>'Historical Prices'!B86/'Historical Prices'!B85-1</f>
        <v>1.1473535678393487E-2</v>
      </c>
      <c r="D88" s="3">
        <f>'Historical Prices'!D86/'Historical Prices'!D85-1</f>
        <v>6.4548177132703888E-3</v>
      </c>
      <c r="E88" s="3">
        <f>'Historical Prices'!E86/'Historical Prices'!E85-1</f>
        <v>1.1815381232318733E-2</v>
      </c>
      <c r="F88" s="3">
        <f>'Historical Prices'!F86/'Historical Prices'!F85-1</f>
        <v>1.0380746786208483E-2</v>
      </c>
      <c r="G88" s="9">
        <f t="shared" si="2"/>
        <v>8.0867810274981213E-3</v>
      </c>
      <c r="H88" s="6">
        <f t="shared" si="3"/>
        <v>8086.7810274981211</v>
      </c>
    </row>
    <row r="89" spans="1:8" x14ac:dyDescent="0.25">
      <c r="A89" s="2">
        <f>'Historical Prices'!A87</f>
        <v>45233</v>
      </c>
      <c r="B89" s="3">
        <f>'Historical Prices'!C87/'Historical Prices'!C86-1</f>
        <v>4.7401514890570429E-3</v>
      </c>
      <c r="C89" s="3">
        <f>'Historical Prices'!B87/'Historical Prices'!B86-1</f>
        <v>6.0023897521868097E-3</v>
      </c>
      <c r="D89" s="3">
        <f>'Historical Prices'!D87/'Historical Prices'!D86-1</f>
        <v>1.5055135475954717E-2</v>
      </c>
      <c r="E89" s="3">
        <f>'Historical Prices'!E87/'Historical Prices'!E86-1</f>
        <v>1.3794166236128724E-2</v>
      </c>
      <c r="F89" s="3">
        <f>'Historical Prices'!F87/'Historical Prices'!F86-1</f>
        <v>-4.7623170837296502E-4</v>
      </c>
      <c r="G89" s="9">
        <f t="shared" si="2"/>
        <v>7.9863836516018659E-3</v>
      </c>
      <c r="H89" s="6">
        <f t="shared" si="3"/>
        <v>7986.3836516018655</v>
      </c>
    </row>
    <row r="90" spans="1:8" x14ac:dyDescent="0.25">
      <c r="A90" s="2">
        <f>'Historical Prices'!A88</f>
        <v>45236</v>
      </c>
      <c r="B90" s="3">
        <f>'Historical Prices'!C88/'Historical Prices'!C87-1</f>
        <v>7.2451291018700292E-3</v>
      </c>
      <c r="C90" s="3">
        <f>'Historical Prices'!B88/'Historical Prices'!B87-1</f>
        <v>2.0781701584454026E-2</v>
      </c>
      <c r="D90" s="3">
        <f>'Historical Prices'!D88/'Historical Prices'!D87-1</f>
        <v>1.2475944284396911E-2</v>
      </c>
      <c r="E90" s="3">
        <f>'Historical Prices'!E88/'Historical Prices'!E87-1</f>
        <v>1.0258879894109674E-2</v>
      </c>
      <c r="F90" s="3">
        <f>'Historical Prices'!F88/'Historical Prices'!F87-1</f>
        <v>1.3138252464402811E-2</v>
      </c>
      <c r="G90" s="9">
        <f t="shared" si="2"/>
        <v>1.2624135220227194E-2</v>
      </c>
      <c r="H90" s="6">
        <f t="shared" si="3"/>
        <v>12624.135220227194</v>
      </c>
    </row>
    <row r="91" spans="1:8" x14ac:dyDescent="0.25">
      <c r="A91" s="2">
        <f>'Historical Prices'!A89</f>
        <v>45237</v>
      </c>
      <c r="B91" s="3">
        <f>'Historical Prices'!C89/'Historical Prices'!C88-1</f>
        <v>-4.8512160668222615E-3</v>
      </c>
      <c r="C91" s="3">
        <f>'Historical Prices'!B89/'Historical Prices'!B88-1</f>
        <v>1.139290844863261E-2</v>
      </c>
      <c r="D91" s="3">
        <f>'Historical Prices'!D89/'Historical Prices'!D88-1</f>
        <v>2.8028128306749611E-3</v>
      </c>
      <c r="E91" s="3">
        <f>'Historical Prices'!E89/'Historical Prices'!E88-1</f>
        <v>7.1257934276913737E-4</v>
      </c>
      <c r="F91" s="3">
        <f>'Historical Prices'!F89/'Historical Prices'!F88-1</f>
        <v>-5.7448551137138093E-3</v>
      </c>
      <c r="G91" s="9">
        <f t="shared" si="2"/>
        <v>7.3923139571532999E-4</v>
      </c>
      <c r="H91" s="6">
        <f t="shared" si="3"/>
        <v>739.23139571533</v>
      </c>
    </row>
    <row r="92" spans="1:8" x14ac:dyDescent="0.25">
      <c r="A92" s="2">
        <f>'Historical Prices'!A90</f>
        <v>45238</v>
      </c>
      <c r="B92" s="3">
        <f>'Historical Prices'!C90/'Historical Prices'!C89-1</f>
        <v>2.891266190297781E-3</v>
      </c>
      <c r="C92" s="3">
        <f>'Historical Prices'!B90/'Historical Prices'!B89-1</f>
        <v>7.8363283697346908E-4</v>
      </c>
      <c r="D92" s="3">
        <f>'Historical Prices'!D90/'Historical Prices'!D89-1</f>
        <v>-1.3025991873122922E-2</v>
      </c>
      <c r="E92" s="3">
        <f>'Historical Prices'!E90/'Historical Prices'!E89-1</f>
        <v>-9.4708680137075563E-3</v>
      </c>
      <c r="F92" s="3">
        <f>'Historical Prices'!F90/'Historical Prices'!F89-1</f>
        <v>5.1697889169328715E-3</v>
      </c>
      <c r="G92" s="9">
        <f t="shared" si="2"/>
        <v>-2.9647542339731742E-3</v>
      </c>
      <c r="H92" s="6">
        <f t="shared" si="3"/>
        <v>-2964.754233973174</v>
      </c>
    </row>
    <row r="93" spans="1:8" x14ac:dyDescent="0.25">
      <c r="A93" s="2">
        <f>'Historical Prices'!A91</f>
        <v>45239</v>
      </c>
      <c r="B93" s="3">
        <f>'Historical Prices'!C91/'Historical Prices'!C90-1</f>
        <v>-3.9554187604525781E-3</v>
      </c>
      <c r="C93" s="3">
        <f>'Historical Prices'!B91/'Historical Prices'!B90-1</f>
        <v>1.9575480934630463E-4</v>
      </c>
      <c r="D93" s="3">
        <f>'Historical Prices'!D91/'Historical Prices'!D90-1</f>
        <v>1.7097900337725846E-3</v>
      </c>
      <c r="E93" s="3">
        <f>'Historical Prices'!E91/'Historical Prices'!E90-1</f>
        <v>-1.164635695547489E-2</v>
      </c>
      <c r="F93" s="3">
        <f>'Historical Prices'!F91/'Historical Prices'!F90-1</f>
        <v>4.3465072877714395E-2</v>
      </c>
      <c r="G93" s="9">
        <f t="shared" si="2"/>
        <v>5.8359074462126471E-3</v>
      </c>
      <c r="H93" s="6">
        <f t="shared" si="3"/>
        <v>5835.9074462126473</v>
      </c>
    </row>
    <row r="94" spans="1:8" x14ac:dyDescent="0.25">
      <c r="A94" s="2">
        <f>'Historical Prices'!A92</f>
        <v>45240</v>
      </c>
      <c r="B94" s="3">
        <f>'Historical Prices'!C92/'Historical Prices'!C91-1</f>
        <v>3.9375744242926558E-3</v>
      </c>
      <c r="C94" s="3">
        <f>'Historical Prices'!B92/'Historical Prices'!B91-1</f>
        <v>7.1435623312137153E-3</v>
      </c>
      <c r="D94" s="3">
        <f>'Historical Prices'!D92/'Historical Prices'!D91-1</f>
        <v>1.3336624052828761E-3</v>
      </c>
      <c r="E94" s="3">
        <f>'Historical Prices'!E92/'Historical Prices'!E91-1</f>
        <v>-4.3279765883238452E-3</v>
      </c>
      <c r="F94" s="3">
        <f>'Historical Prices'!F92/'Historical Prices'!F91-1</f>
        <v>-1.8008352668213434E-2</v>
      </c>
      <c r="G94" s="9">
        <f t="shared" si="2"/>
        <v>-1.8235039419265764E-3</v>
      </c>
      <c r="H94" s="6">
        <f t="shared" si="3"/>
        <v>-1823.5039419265763</v>
      </c>
    </row>
    <row r="95" spans="1:8" x14ac:dyDescent="0.25">
      <c r="A95" s="2">
        <f>'Historical Prices'!A93</f>
        <v>45243</v>
      </c>
      <c r="B95" s="3">
        <f>'Historical Prices'!C93/'Historical Prices'!C92-1</f>
        <v>-1.8102470633807322E-3</v>
      </c>
      <c r="C95" s="3">
        <f>'Historical Prices'!B93/'Historical Prices'!B92-1</f>
        <v>-3.7408049245847286E-3</v>
      </c>
      <c r="D95" s="3">
        <f>'Historical Prices'!D93/'Historical Prices'!D92-1</f>
        <v>-4.4214913352086382E-3</v>
      </c>
      <c r="E95" s="3">
        <f>'Historical Prices'!E93/'Historical Prices'!E92-1</f>
        <v>3.4335755732093354E-3</v>
      </c>
      <c r="F95" s="3">
        <f>'Historical Prices'!F93/'Historical Prices'!F92-1</f>
        <v>1.0596392009798672E-2</v>
      </c>
      <c r="G95" s="9">
        <f t="shared" si="2"/>
        <v>5.9880792631688889E-4</v>
      </c>
      <c r="H95" s="6">
        <f t="shared" si="3"/>
        <v>598.80792631688894</v>
      </c>
    </row>
    <row r="96" spans="1:8" x14ac:dyDescent="0.25">
      <c r="A96" s="2">
        <f>'Historical Prices'!A94</f>
        <v>45245</v>
      </c>
      <c r="B96" s="3">
        <f>'Historical Prices'!C94/'Historical Prices'!C93-1</f>
        <v>1.0478297023486904E-2</v>
      </c>
      <c r="C96" s="3">
        <f>'Historical Prices'!B94/'Historical Prices'!B93-1</f>
        <v>1.5604399276334391E-2</v>
      </c>
      <c r="D96" s="3">
        <f>'Historical Prices'!D94/'Historical Prices'!D93-1</f>
        <v>7.116462345646335E-3</v>
      </c>
      <c r="E96" s="3">
        <f>'Historical Prices'!E94/'Historical Prices'!E93-1</f>
        <v>2.6901099358916269E-2</v>
      </c>
      <c r="F96" s="3">
        <f>'Historical Prices'!F94/'Historical Prices'!F93-1</f>
        <v>2.5320723471549123E-3</v>
      </c>
      <c r="G96" s="9">
        <f t="shared" si="2"/>
        <v>1.2147615899369846E-2</v>
      </c>
      <c r="H96" s="6">
        <f t="shared" si="3"/>
        <v>12147.615899369846</v>
      </c>
    </row>
    <row r="97" spans="1:8" x14ac:dyDescent="0.25">
      <c r="A97" s="2">
        <f>'Historical Prices'!A95</f>
        <v>45246</v>
      </c>
      <c r="B97" s="3">
        <f>'Historical Prices'!C95/'Historical Prices'!C94-1</f>
        <v>2.6254379190111532E-3</v>
      </c>
      <c r="C97" s="3">
        <f>'Historical Prices'!B95/'Historical Prices'!B94-1</f>
        <v>-1.4404338357274282E-2</v>
      </c>
      <c r="D97" s="3">
        <f>'Historical Prices'!D95/'Historical Prices'!D94-1</f>
        <v>-5.4192186829963296E-3</v>
      </c>
      <c r="E97" s="3">
        <f>'Historical Prices'!E95/'Historical Prices'!E94-1</f>
        <v>2.4388580972181106E-2</v>
      </c>
      <c r="F97" s="3">
        <f>'Historical Prices'!F95/'Historical Prices'!F94-1</f>
        <v>1.6416779801785575E-2</v>
      </c>
      <c r="G97" s="9">
        <f t="shared" si="2"/>
        <v>4.3241146916727109E-3</v>
      </c>
      <c r="H97" s="6">
        <f t="shared" si="3"/>
        <v>4324.1146916727112</v>
      </c>
    </row>
    <row r="98" spans="1:8" x14ac:dyDescent="0.25">
      <c r="A98" s="2">
        <f>'Historical Prices'!A96</f>
        <v>45247</v>
      </c>
      <c r="B98" s="3">
        <f>'Historical Prices'!C96/'Historical Prices'!C95-1</f>
        <v>-2.1546390706983498E-3</v>
      </c>
      <c r="C98" s="3">
        <f>'Historical Prices'!B96/'Historical Prices'!B95-1</f>
        <v>-3.117850980583825E-2</v>
      </c>
      <c r="D98" s="3">
        <f>'Historical Prices'!D96/'Historical Prices'!D95-1</f>
        <v>-1.5117524941396399E-2</v>
      </c>
      <c r="E98" s="3">
        <f>'Historical Prices'!E96/'Historical Prices'!E95-1</f>
        <v>-5.0869282775015678E-3</v>
      </c>
      <c r="F98" s="3">
        <f>'Historical Prices'!F96/'Historical Prices'!F95-1</f>
        <v>9.5889507961652853E-3</v>
      </c>
      <c r="G98" s="9">
        <f t="shared" si="2"/>
        <v>-8.731440950943567E-3</v>
      </c>
      <c r="H98" s="6">
        <f t="shared" si="3"/>
        <v>-8731.4409509435663</v>
      </c>
    </row>
    <row r="99" spans="1:8" x14ac:dyDescent="0.25">
      <c r="A99" s="2">
        <f>'Historical Prices'!A97</f>
        <v>45250</v>
      </c>
      <c r="B99" s="3">
        <f>'Historical Prices'!C97/'Historical Prices'!C96-1</f>
        <v>6.6405859910467768E-5</v>
      </c>
      <c r="C99" s="3">
        <f>'Historical Prices'!B97/'Historical Prices'!B96-1</f>
        <v>-5.6819807449113302E-3</v>
      </c>
      <c r="D99" s="3">
        <f>'Historical Prices'!D97/'Historical Prices'!D96-1</f>
        <v>-4.3384183469019622E-4</v>
      </c>
      <c r="E99" s="3">
        <f>'Historical Prices'!E97/'Historical Prices'!E96-1</f>
        <v>-6.6086337948867424E-4</v>
      </c>
      <c r="F99" s="3">
        <f>'Historical Prices'!F97/'Historical Prices'!F96-1</f>
        <v>-2.0415829198062729E-2</v>
      </c>
      <c r="G99" s="9">
        <f t="shared" si="2"/>
        <v>-5.1932817195953869E-3</v>
      </c>
      <c r="H99" s="6">
        <f t="shared" si="3"/>
        <v>-5193.2817195953867</v>
      </c>
    </row>
    <row r="100" spans="1:8" x14ac:dyDescent="0.25">
      <c r="A100" s="2">
        <f>'Historical Prices'!A98</f>
        <v>45251</v>
      </c>
      <c r="B100" s="3">
        <f>'Historical Prices'!C98/'Historical Prices'!C97-1</f>
        <v>8.4706738078716981E-3</v>
      </c>
      <c r="C100" s="3">
        <f>'Historical Prices'!B98/'Historical Prices'!B97-1</f>
        <v>3.1353795478179514E-3</v>
      </c>
      <c r="D100" s="3">
        <f>'Historical Prices'!D98/'Historical Prices'!D97-1</f>
        <v>5.0463046947220036E-3</v>
      </c>
      <c r="E100" s="3">
        <f>'Historical Prices'!E98/'Historical Prices'!E97-1</f>
        <v>1.670585722955753E-3</v>
      </c>
      <c r="F100" s="3">
        <f>'Historical Prices'!F98/'Historical Prices'!F97-1</f>
        <v>4.8640914208395447E-3</v>
      </c>
      <c r="G100" s="9">
        <f t="shared" si="2"/>
        <v>4.7582050473369353E-3</v>
      </c>
      <c r="H100" s="6">
        <f t="shared" si="3"/>
        <v>4758.2050473369354</v>
      </c>
    </row>
    <row r="101" spans="1:8" x14ac:dyDescent="0.25">
      <c r="A101" s="2">
        <f>'Historical Prices'!A99</f>
        <v>45252</v>
      </c>
      <c r="B101" s="3">
        <f>'Historical Prices'!C99/'Historical Prices'!C98-1</f>
        <v>-3.5574079884544973E-3</v>
      </c>
      <c r="C101" s="3">
        <f>'Historical Prices'!B99/'Historical Prices'!B98-1</f>
        <v>6.3520800051668491E-3</v>
      </c>
      <c r="D101" s="3">
        <f>'Historical Prices'!D99/'Historical Prices'!D98-1</f>
        <v>-3.6172662265115951E-3</v>
      </c>
      <c r="E101" s="3">
        <f>'Historical Prices'!E99/'Historical Prices'!E98-1</f>
        <v>1.3064767104564501E-2</v>
      </c>
      <c r="F101" s="3">
        <f>'Historical Prices'!F99/'Historical Prices'!F98-1</f>
        <v>-1.0450482890252633E-2</v>
      </c>
      <c r="G101" s="9">
        <f t="shared" si="2"/>
        <v>-1.3890770994815643E-5</v>
      </c>
      <c r="H101" s="6">
        <f t="shared" si="3"/>
        <v>-13.890770994815643</v>
      </c>
    </row>
    <row r="102" spans="1:8" x14ac:dyDescent="0.25">
      <c r="A102" s="2">
        <f>'Historical Prices'!A100</f>
        <v>45253</v>
      </c>
      <c r="B102" s="3">
        <f>'Historical Prices'!C100/'Historical Prices'!C99-1</f>
        <v>5.7850116809412544E-3</v>
      </c>
      <c r="C102" s="3">
        <f>'Historical Prices'!B100/'Historical Prices'!B99-1</f>
        <v>9.5183656706243625E-4</v>
      </c>
      <c r="D102" s="3">
        <f>'Historical Prices'!D100/'Historical Prices'!D99-1</f>
        <v>2.7091209512675185E-4</v>
      </c>
      <c r="E102" s="3">
        <f>'Historical Prices'!E100/'Historical Prices'!E99-1</f>
        <v>-5.8650597382511327E-3</v>
      </c>
      <c r="F102" s="3">
        <f>'Historical Prices'!F100/'Historical Prices'!F99-1</f>
        <v>1.5550303592863912E-3</v>
      </c>
      <c r="G102" s="9">
        <f t="shared" si="2"/>
        <v>6.7471031688792651E-4</v>
      </c>
      <c r="H102" s="6">
        <f t="shared" si="3"/>
        <v>674.71031688792652</v>
      </c>
    </row>
    <row r="103" spans="1:8" x14ac:dyDescent="0.25">
      <c r="A103" s="2">
        <f>'Historical Prices'!A101</f>
        <v>45254</v>
      </c>
      <c r="B103" s="3">
        <f>'Historical Prices'!C101/'Historical Prices'!C100-1</f>
        <v>7.0991479865984974E-3</v>
      </c>
      <c r="C103" s="3">
        <f>'Historical Prices'!B101/'Historical Prices'!B100-1</f>
        <v>9.4590364911364411E-3</v>
      </c>
      <c r="D103" s="3">
        <f>'Historical Prices'!D101/'Historical Prices'!D100-1</f>
        <v>6.9339050497458921E-3</v>
      </c>
      <c r="E103" s="3">
        <f>'Historical Prices'!E101/'Historical Prices'!E100-1</f>
        <v>-8.1764610018809636E-3</v>
      </c>
      <c r="F103" s="3">
        <f>'Historical Prices'!F101/'Historical Prices'!F100-1</f>
        <v>4.7545927640251229E-3</v>
      </c>
      <c r="G103" s="9">
        <f t="shared" si="2"/>
        <v>4.2297913074971485E-3</v>
      </c>
      <c r="H103" s="6">
        <f t="shared" si="3"/>
        <v>4229.7913074971484</v>
      </c>
    </row>
    <row r="104" spans="1:8" x14ac:dyDescent="0.25">
      <c r="A104" s="2">
        <f>'Historical Prices'!A102</f>
        <v>45258</v>
      </c>
      <c r="B104" s="3">
        <f>'Historical Prices'!C102/'Historical Prices'!C101-1</f>
        <v>-2.2518761265932774E-3</v>
      </c>
      <c r="C104" s="3">
        <f>'Historical Prices'!B102/'Historical Prices'!B101-1</f>
        <v>1.2543351885788701E-2</v>
      </c>
      <c r="D104" s="3">
        <f>'Historical Prices'!D102/'Historical Prices'!D101-1</f>
        <v>-4.1962183215503712E-3</v>
      </c>
      <c r="E104" s="3">
        <f>'Historical Prices'!E102/'Historical Prices'!E101-1</f>
        <v>3.6870100835468822E-3</v>
      </c>
      <c r="F104" s="3">
        <f>'Historical Prices'!F102/'Historical Prices'!F101-1</f>
        <v>8.2732608245632555E-3</v>
      </c>
      <c r="G104" s="9">
        <f t="shared" si="2"/>
        <v>3.1552862815604436E-3</v>
      </c>
      <c r="H104" s="6">
        <f t="shared" si="3"/>
        <v>3155.2862815604435</v>
      </c>
    </row>
    <row r="105" spans="1:8" x14ac:dyDescent="0.25">
      <c r="A105" s="2">
        <f>'Historical Prices'!A103</f>
        <v>45259</v>
      </c>
      <c r="B105" s="3">
        <f>'Historical Prices'!C103/'Historical Prices'!C102-1</f>
        <v>1.9952270535462002E-2</v>
      </c>
      <c r="C105" s="3">
        <f>'Historical Prices'!B103/'Historical Prices'!B102-1</f>
        <v>3.8192266929763186E-2</v>
      </c>
      <c r="D105" s="3">
        <f>'Historical Prices'!D103/'Historical Prices'!D102-1</f>
        <v>1.5234960404230558E-2</v>
      </c>
      <c r="E105" s="3">
        <f>'Historical Prices'!E103/'Historical Prices'!E102-1</f>
        <v>1.171415955911459E-2</v>
      </c>
      <c r="F105" s="3">
        <f>'Historical Prices'!F103/'Historical Prices'!F102-1</f>
        <v>3.3875007668145551E-2</v>
      </c>
      <c r="G105" s="9">
        <f t="shared" si="2"/>
        <v>2.3405689371287005E-2</v>
      </c>
      <c r="H105" s="6">
        <f t="shared" si="3"/>
        <v>23405.689371287004</v>
      </c>
    </row>
    <row r="106" spans="1:8" x14ac:dyDescent="0.25">
      <c r="A106" s="2">
        <f>'Historical Prices'!A104</f>
        <v>45260</v>
      </c>
      <c r="B106" s="3">
        <f>'Historical Prices'!C104/'Historical Prices'!C103-1</f>
        <v>-2.2436334040387695E-4</v>
      </c>
      <c r="C106" s="3">
        <f>'Historical Prices'!B104/'Historical Prices'!B103-1</f>
        <v>1.3299922898997618E-2</v>
      </c>
      <c r="D106" s="3">
        <f>'Historical Prices'!D104/'Historical Prices'!D103-1</f>
        <v>-4.9488935031807291E-3</v>
      </c>
      <c r="E106" s="3">
        <f>'Historical Prices'!E104/'Historical Prices'!E103-1</f>
        <v>-3.048843572135973E-3</v>
      </c>
      <c r="F106" s="3">
        <f>'Historical Prices'!F104/'Historical Prices'!F103-1</f>
        <v>1.7695036182471702E-2</v>
      </c>
      <c r="G106" s="9">
        <f t="shared" si="2"/>
        <v>4.1272588651410525E-3</v>
      </c>
      <c r="H106" s="6">
        <f t="shared" si="3"/>
        <v>4127.2588651410524</v>
      </c>
    </row>
    <row r="107" spans="1:8" x14ac:dyDescent="0.25">
      <c r="A107" s="2">
        <f>'Historical Prices'!A105</f>
        <v>45261</v>
      </c>
      <c r="B107" s="3">
        <f>'Historical Prices'!C105/'Historical Prices'!C104-1</f>
        <v>-2.1812454599982045E-3</v>
      </c>
      <c r="C107" s="3">
        <f>'Historical Prices'!B105/'Historical Prices'!B104-1</f>
        <v>2.8298852172011779E-2</v>
      </c>
      <c r="D107" s="3">
        <f>'Historical Prices'!D105/'Historical Prices'!D104-1</f>
        <v>1.2567522565288369E-2</v>
      </c>
      <c r="E107" s="3">
        <f>'Historical Prices'!E105/'Historical Prices'!E104-1</f>
        <v>-1.9584287673644063E-3</v>
      </c>
      <c r="F107" s="3">
        <f>'Historical Prices'!F105/'Historical Prices'!F104-1</f>
        <v>-1.3503227862780132E-2</v>
      </c>
      <c r="G107" s="9">
        <f t="shared" si="2"/>
        <v>4.653364685736603E-3</v>
      </c>
      <c r="H107" s="6">
        <f t="shared" si="3"/>
        <v>4653.364685736603</v>
      </c>
    </row>
    <row r="108" spans="1:8" x14ac:dyDescent="0.25">
      <c r="A108" s="2">
        <f>'Historical Prices'!A106</f>
        <v>45264</v>
      </c>
      <c r="B108" s="3">
        <f>'Historical Prices'!C106/'Historical Prices'!C105-1</f>
        <v>3.4717792279439941E-2</v>
      </c>
      <c r="C108" s="3">
        <f>'Historical Prices'!B106/'Historical Prices'!B105-1</f>
        <v>1.8965219114515985E-2</v>
      </c>
      <c r="D108" s="3">
        <f>'Historical Prices'!D106/'Historical Prices'!D105-1</f>
        <v>4.7005378241596674E-2</v>
      </c>
      <c r="E108" s="3">
        <f>'Historical Prices'!E106/'Historical Prices'!E105-1</f>
        <v>8.2971058544085707E-3</v>
      </c>
      <c r="F108" s="3">
        <f>'Historical Prices'!F106/'Historical Prices'!F105-1</f>
        <v>1.9286373660582834E-2</v>
      </c>
      <c r="G108" s="9">
        <f t="shared" si="2"/>
        <v>2.677347275323079E-2</v>
      </c>
      <c r="H108" s="6">
        <f t="shared" si="3"/>
        <v>26773.472753230792</v>
      </c>
    </row>
    <row r="109" spans="1:8" x14ac:dyDescent="0.25">
      <c r="A109" s="2">
        <f>'Historical Prices'!A107</f>
        <v>45265</v>
      </c>
      <c r="B109" s="3">
        <f>'Historical Prices'!C107/'Historical Prices'!C106-1</f>
        <v>8.8853032200519877E-3</v>
      </c>
      <c r="C109" s="3">
        <f>'Historical Prices'!B107/'Historical Prices'!B106-1</f>
        <v>6.0856573033871708E-3</v>
      </c>
      <c r="D109" s="3">
        <f>'Historical Prices'!D107/'Historical Prices'!D106-1</f>
        <v>2.2447565838312311E-2</v>
      </c>
      <c r="E109" s="3">
        <f>'Historical Prices'!E107/'Historical Prices'!E106-1</f>
        <v>-7.1021695480271152E-3</v>
      </c>
      <c r="F109" s="3">
        <f>'Historical Prices'!F107/'Historical Prices'!F106-1</f>
        <v>1.7623816596855191E-2</v>
      </c>
      <c r="G109" s="9">
        <f t="shared" si="2"/>
        <v>1.0204045588339854E-2</v>
      </c>
      <c r="H109" s="6">
        <f t="shared" si="3"/>
        <v>10204.045588339854</v>
      </c>
    </row>
    <row r="110" spans="1:8" x14ac:dyDescent="0.25">
      <c r="A110" s="2">
        <f>'Historical Prices'!A108</f>
        <v>45266</v>
      </c>
      <c r="B110" s="3">
        <f>'Historical Prices'!C108/'Historical Prices'!C107-1</f>
        <v>2.5250263003944173E-3</v>
      </c>
      <c r="C110" s="3">
        <f>'Historical Prices'!B108/'Historical Prices'!B107-1</f>
        <v>-1.0552335792915701E-2</v>
      </c>
      <c r="D110" s="3">
        <f>'Historical Prices'!D108/'Historical Prices'!D107-1</f>
        <v>-1.0064683281426956E-2</v>
      </c>
      <c r="E110" s="3">
        <f>'Historical Prices'!E108/'Historical Prices'!E107-1</f>
        <v>1.3996456722397577E-2</v>
      </c>
      <c r="F110" s="3">
        <f>'Historical Prices'!F108/'Historical Prices'!F107-1</f>
        <v>9.6972166941444726E-3</v>
      </c>
      <c r="G110" s="9">
        <f t="shared" si="2"/>
        <v>7.4196642704090301E-4</v>
      </c>
      <c r="H110" s="6">
        <f t="shared" si="3"/>
        <v>741.966427040903</v>
      </c>
    </row>
    <row r="111" spans="1:8" x14ac:dyDescent="0.25">
      <c r="A111" s="2">
        <f>'Historical Prices'!A109</f>
        <v>45267</v>
      </c>
      <c r="B111" s="3">
        <f>'Historical Prices'!C109/'Historical Prices'!C108-1</f>
        <v>1.6279702311776667E-3</v>
      </c>
      <c r="C111" s="3">
        <f>'Historical Prices'!B109/'Historical Prices'!B108-1</f>
        <v>-2.3649245950956299E-3</v>
      </c>
      <c r="D111" s="3">
        <f>'Historical Prices'!D109/'Historical Prices'!D108-1</f>
        <v>-4.2362130240977125E-3</v>
      </c>
      <c r="E111" s="3">
        <f>'Historical Prices'!E109/'Historical Prices'!E108-1</f>
        <v>-5.6976217321499378E-3</v>
      </c>
      <c r="F111" s="3">
        <f>'Historical Prices'!F109/'Historical Prices'!F108-1</f>
        <v>-5.7272815428687229E-3</v>
      </c>
      <c r="G111" s="9">
        <f t="shared" si="2"/>
        <v>-3.2138940341539064E-3</v>
      </c>
      <c r="H111" s="6">
        <f t="shared" si="3"/>
        <v>-3213.8940341539064</v>
      </c>
    </row>
    <row r="112" spans="1:8" x14ac:dyDescent="0.25">
      <c r="A112" s="2">
        <f>'Historical Prices'!A110</f>
        <v>45268</v>
      </c>
      <c r="B112" s="3">
        <f>'Historical Prices'!C110/'Historical Prices'!C109-1</f>
        <v>1.3953221436922014E-2</v>
      </c>
      <c r="C112" s="3">
        <f>'Historical Prices'!B110/'Historical Prices'!B109-1</f>
        <v>1.1942413267265861E-2</v>
      </c>
      <c r="D112" s="3">
        <f>'Historical Prices'!D110/'Historical Prices'!D109-1</f>
        <v>1.186183580729927E-2</v>
      </c>
      <c r="E112" s="3">
        <f>'Historical Prices'!E110/'Historical Prices'!E109-1</f>
        <v>1.722496910267779E-2</v>
      </c>
      <c r="F112" s="3">
        <f>'Historical Prices'!F110/'Historical Prices'!F109-1</f>
        <v>-1.4237994709249135E-2</v>
      </c>
      <c r="G112" s="9">
        <f t="shared" si="2"/>
        <v>8.2681069442214483E-3</v>
      </c>
      <c r="H112" s="6">
        <f t="shared" si="3"/>
        <v>8268.1069442214484</v>
      </c>
    </row>
    <row r="113" spans="1:8" x14ac:dyDescent="0.25">
      <c r="A113" s="2">
        <f>'Historical Prices'!A111</f>
        <v>45271</v>
      </c>
      <c r="B113" s="3">
        <f>'Historical Prices'!C111/'Historical Prices'!C110-1</f>
        <v>-1.3307472558012901E-3</v>
      </c>
      <c r="C113" s="3">
        <f>'Historical Prices'!B111/'Historical Prices'!B110-1</f>
        <v>-1.2994927745441642E-2</v>
      </c>
      <c r="D113" s="3">
        <f>'Historical Prices'!D111/'Historical Prices'!D110-1</f>
        <v>6.1829565222557559E-3</v>
      </c>
      <c r="E113" s="3">
        <f>'Historical Prices'!E111/'Historical Prices'!E110-1</f>
        <v>-1.7772762874456172E-3</v>
      </c>
      <c r="F113" s="3">
        <f>'Historical Prices'!F111/'Historical Prices'!F110-1</f>
        <v>-9.7989229629820152E-3</v>
      </c>
      <c r="G113" s="9">
        <f t="shared" si="2"/>
        <v>-3.4822250389194573E-3</v>
      </c>
      <c r="H113" s="6">
        <f t="shared" si="3"/>
        <v>-3482.2250389194573</v>
      </c>
    </row>
    <row r="114" spans="1:8" x14ac:dyDescent="0.25">
      <c r="A114" s="2">
        <f>'Historical Prices'!A112</f>
        <v>45272</v>
      </c>
      <c r="B114" s="3">
        <f>'Historical Prices'!C112/'Historical Prices'!C111-1</f>
        <v>-9.9334048613022308E-3</v>
      </c>
      <c r="C114" s="3">
        <f>'Historical Prices'!B112/'Historical Prices'!B111-1</f>
        <v>1.2987049993238076E-2</v>
      </c>
      <c r="D114" s="3">
        <f>'Historical Prices'!D112/'Historical Prices'!D111-1</f>
        <v>-1.3764612638004214E-3</v>
      </c>
      <c r="E114" s="3">
        <f>'Historical Prices'!E112/'Historical Prices'!E111-1</f>
        <v>-8.3639862434328194E-3</v>
      </c>
      <c r="F114" s="3">
        <f>'Historical Prices'!F112/'Historical Prices'!F111-1</f>
        <v>-1.0168202494051592E-2</v>
      </c>
      <c r="G114" s="9">
        <f t="shared" si="2"/>
        <v>-3.5158405759060456E-3</v>
      </c>
      <c r="H114" s="6">
        <f t="shared" si="3"/>
        <v>-3515.8405759060456</v>
      </c>
    </row>
    <row r="115" spans="1:8" x14ac:dyDescent="0.25">
      <c r="A115" s="2">
        <f>'Historical Prices'!A113</f>
        <v>45273</v>
      </c>
      <c r="B115" s="3">
        <f>'Historical Prices'!C113/'Historical Prices'!C112-1</f>
        <v>-2.2635312538191732E-3</v>
      </c>
      <c r="C115" s="3">
        <f>'Historical Prices'!B113/'Historical Prices'!B112-1</f>
        <v>-1.4279494889848587E-2</v>
      </c>
      <c r="D115" s="3">
        <f>'Historical Prices'!D113/'Historical Prices'!D112-1</f>
        <v>-1.7721752411726799E-3</v>
      </c>
      <c r="E115" s="3">
        <f>'Historical Prices'!E113/'Historical Prices'!E112-1</f>
        <v>-1.8325928315043538E-2</v>
      </c>
      <c r="F115" s="3">
        <f>'Historical Prices'!F113/'Historical Prices'!F112-1</f>
        <v>1.8802760268674223E-2</v>
      </c>
      <c r="G115" s="9">
        <f t="shared" si="2"/>
        <v>-3.2583725241583468E-3</v>
      </c>
      <c r="H115" s="6">
        <f t="shared" si="3"/>
        <v>-3258.3725241583466</v>
      </c>
    </row>
    <row r="116" spans="1:8" x14ac:dyDescent="0.25">
      <c r="A116" s="2">
        <f>'Historical Prices'!A114</f>
        <v>45274</v>
      </c>
      <c r="B116" s="3">
        <f>'Historical Prices'!C114/'Historical Prices'!C113-1</f>
        <v>1.1803272076290616E-2</v>
      </c>
      <c r="C116" s="3">
        <f>'Historical Prices'!B114/'Historical Prices'!B113-1</f>
        <v>5.0230551260685985E-3</v>
      </c>
      <c r="D116" s="3">
        <f>'Historical Prices'!D114/'Historical Prices'!D113-1</f>
        <v>1.9479236581555703E-2</v>
      </c>
      <c r="E116" s="3">
        <f>'Historical Prices'!E114/'Historical Prices'!E113-1</f>
        <v>3.6197204639473846E-2</v>
      </c>
      <c r="F116" s="3">
        <f>'Historical Prices'!F114/'Historical Prices'!F113-1</f>
        <v>2.2446885109698611E-2</v>
      </c>
      <c r="G116" s="9">
        <f t="shared" si="2"/>
        <v>1.8852593056501613E-2</v>
      </c>
      <c r="H116" s="6">
        <f t="shared" si="3"/>
        <v>18852.593056501613</v>
      </c>
    </row>
    <row r="117" spans="1:8" x14ac:dyDescent="0.25">
      <c r="A117" s="2">
        <f>'Historical Prices'!A115</f>
        <v>45275</v>
      </c>
      <c r="B117" s="3">
        <f>'Historical Prices'!C115/'Historical Prices'!C114-1</f>
        <v>3.8784834058342987E-3</v>
      </c>
      <c r="C117" s="3">
        <f>'Historical Prices'!B115/'Historical Prices'!B114-1</f>
        <v>-8.9223757676948345E-5</v>
      </c>
      <c r="D117" s="3">
        <f>'Historical Prices'!D115/'Historical Prices'!D114-1</f>
        <v>3.6279928898721447E-3</v>
      </c>
      <c r="E117" s="3">
        <f>'Historical Prices'!E115/'Historical Prices'!E114-1</f>
        <v>5.1250614365283331E-2</v>
      </c>
      <c r="F117" s="3">
        <f>'Historical Prices'!F115/'Historical Prices'!F114-1</f>
        <v>1.2562059791357161E-2</v>
      </c>
      <c r="G117" s="9">
        <f t="shared" si="2"/>
        <v>1.3492683640756935E-2</v>
      </c>
      <c r="H117" s="6">
        <f t="shared" si="3"/>
        <v>13492.683640756935</v>
      </c>
    </row>
    <row r="118" spans="1:8" x14ac:dyDescent="0.25">
      <c r="A118" s="2">
        <f>'Historical Prices'!A116</f>
        <v>45278</v>
      </c>
      <c r="B118" s="3">
        <f>'Historical Prices'!C116/'Historical Prices'!C115-1</f>
        <v>-5.1315281148944791E-4</v>
      </c>
      <c r="C118" s="3">
        <f>'Historical Prices'!B116/'Historical Prices'!B115-1</f>
        <v>-8.0331483276911975E-3</v>
      </c>
      <c r="D118" s="3">
        <f>'Historical Prices'!D116/'Historical Prices'!D115-1</f>
        <v>-1.5374976142528141E-2</v>
      </c>
      <c r="E118" s="3">
        <f>'Historical Prices'!E116/'Historical Prices'!E115-1</f>
        <v>-8.9015514542551966E-3</v>
      </c>
      <c r="F118" s="3">
        <f>'Historical Prices'!F116/'Historical Prices'!F115-1</f>
        <v>-8.2031570801721632E-3</v>
      </c>
      <c r="G118" s="9">
        <f t="shared" si="2"/>
        <v>-8.3172210382994761E-3</v>
      </c>
      <c r="H118" s="6">
        <f t="shared" si="3"/>
        <v>-8317.2210382994763</v>
      </c>
    </row>
    <row r="119" spans="1:8" x14ac:dyDescent="0.25">
      <c r="A119" s="2">
        <f>'Historical Prices'!A117</f>
        <v>45279</v>
      </c>
      <c r="B119" s="3">
        <f>'Historical Prices'!C117/'Historical Prices'!C116-1</f>
        <v>-1.6910860217107526E-3</v>
      </c>
      <c r="C119" s="3">
        <f>'Historical Prices'!B117/'Historical Prices'!B116-1</f>
        <v>8.0082480528795852E-3</v>
      </c>
      <c r="D119" s="3">
        <f>'Historical Prices'!D117/'Historical Prices'!D116-1</f>
        <v>-5.8740582220829785E-3</v>
      </c>
      <c r="E119" s="3">
        <f>'Historical Prices'!E117/'Historical Prices'!E116-1</f>
        <v>-3.8674078528035949E-3</v>
      </c>
      <c r="F119" s="3">
        <f>'Historical Prices'!F117/'Historical Prices'!F116-1</f>
        <v>-6.6928146340368144E-3</v>
      </c>
      <c r="G119" s="9">
        <f t="shared" si="2"/>
        <v>-2.2245250530037687E-3</v>
      </c>
      <c r="H119" s="6">
        <f t="shared" si="3"/>
        <v>-2224.5250530037688</v>
      </c>
    </row>
    <row r="120" spans="1:8" x14ac:dyDescent="0.25">
      <c r="A120" s="2">
        <f>'Historical Prices'!A118</f>
        <v>45280</v>
      </c>
      <c r="B120" s="3">
        <f>'Historical Prices'!C118/'Historical Prices'!C117-1</f>
        <v>2.480419456206695E-3</v>
      </c>
      <c r="C120" s="3">
        <f>'Historical Prices'!B118/'Historical Prices'!B117-1</f>
        <v>-8.9264804830525568E-3</v>
      </c>
      <c r="D120" s="3">
        <f>'Historical Prices'!D118/'Historical Prices'!D117-1</f>
        <v>-8.6661623536693488E-3</v>
      </c>
      <c r="E120" s="3">
        <f>'Historical Prices'!E118/'Historical Prices'!E117-1</f>
        <v>-1.4053838279789121E-2</v>
      </c>
      <c r="F120" s="3">
        <f>'Historical Prices'!F118/'Historical Prices'!F117-1</f>
        <v>-3.0835327655991063E-2</v>
      </c>
      <c r="G120" s="9">
        <f t="shared" si="2"/>
        <v>-1.1638193479806325E-2</v>
      </c>
      <c r="H120" s="6">
        <f t="shared" si="3"/>
        <v>-11638.193479806325</v>
      </c>
    </row>
    <row r="121" spans="1:8" x14ac:dyDescent="0.25">
      <c r="A121" s="2">
        <f>'Historical Prices'!A119</f>
        <v>45281</v>
      </c>
      <c r="B121" s="3">
        <f>'Historical Prices'!C119/'Historical Prices'!C118-1</f>
        <v>1.7923927978384491E-2</v>
      </c>
      <c r="C121" s="3">
        <f>'Historical Prices'!B119/'Historical Prices'!B118-1</f>
        <v>-1.3375475579873397E-2</v>
      </c>
      <c r="D121" s="3">
        <f>'Historical Prices'!D119/'Historical Prices'!D118-1</f>
        <v>-2.2351188970646252E-3</v>
      </c>
      <c r="E121" s="3">
        <f>'Historical Prices'!E119/'Historical Prices'!E118-1</f>
        <v>-2.6020121537595475E-4</v>
      </c>
      <c r="F121" s="3">
        <f>'Historical Prices'!F119/'Historical Prices'!F118-1</f>
        <v>-7.9541181810327544E-3</v>
      </c>
      <c r="G121" s="9">
        <f t="shared" si="2"/>
        <v>-7.8314589934569715E-4</v>
      </c>
      <c r="H121" s="6">
        <f t="shared" si="3"/>
        <v>-783.1458993456971</v>
      </c>
    </row>
    <row r="122" spans="1:8" x14ac:dyDescent="0.25">
      <c r="A122" s="2">
        <f>'Historical Prices'!A120</f>
        <v>45282</v>
      </c>
      <c r="B122" s="3">
        <f>'Historical Prices'!C120/'Historical Prices'!C119-1</f>
        <v>-9.3970233878397647E-3</v>
      </c>
      <c r="C122" s="3">
        <f>'Historical Prices'!B120/'Historical Prices'!B119-1</f>
        <v>-6.4815422994282113E-3</v>
      </c>
      <c r="D122" s="3">
        <f>'Historical Prices'!D120/'Historical Prices'!D119-1</f>
        <v>-1.0055777053228576E-2</v>
      </c>
      <c r="E122" s="3">
        <f>'Historical Prices'!E120/'Historical Prices'!E119-1</f>
        <v>1.7512960409972411E-2</v>
      </c>
      <c r="F122" s="3">
        <f>'Historical Prices'!F120/'Historical Prices'!F119-1</f>
        <v>2.4485745677593762E-4</v>
      </c>
      <c r="G122" s="9">
        <f t="shared" si="2"/>
        <v>-2.1923870203648991E-3</v>
      </c>
      <c r="H122" s="6">
        <f t="shared" si="3"/>
        <v>-2192.3870203648989</v>
      </c>
    </row>
    <row r="123" spans="1:8" x14ac:dyDescent="0.25">
      <c r="A123" s="2">
        <f>'Historical Prices'!A121</f>
        <v>45286</v>
      </c>
      <c r="B123" s="3">
        <f>'Historical Prices'!C121/'Historical Prices'!C120-1</f>
        <v>6.9425888977481254E-3</v>
      </c>
      <c r="C123" s="3">
        <f>'Historical Prices'!B121/'Historical Prices'!B120-1</f>
        <v>5.4671608867677968E-3</v>
      </c>
      <c r="D123" s="3">
        <f>'Historical Prices'!D121/'Historical Prices'!D120-1</f>
        <v>8.0458545760242473E-4</v>
      </c>
      <c r="E123" s="3">
        <f>'Historical Prices'!E121/'Historical Prices'!E120-1</f>
        <v>-1.2124989606970171E-2</v>
      </c>
      <c r="F123" s="3">
        <f>'Historical Prices'!F121/'Historical Prices'!F120-1</f>
        <v>1.7133296922832164E-2</v>
      </c>
      <c r="G123" s="9">
        <f t="shared" si="2"/>
        <v>3.7250831984357532E-3</v>
      </c>
      <c r="H123" s="6">
        <f t="shared" si="3"/>
        <v>3725.0831984357533</v>
      </c>
    </row>
    <row r="124" spans="1:8" x14ac:dyDescent="0.25">
      <c r="A124" s="2">
        <f>'Historical Prices'!A122</f>
        <v>45287</v>
      </c>
      <c r="B124" s="3">
        <f>'Historical Prices'!C122/'Historical Prices'!C121-1</f>
        <v>1.2392722716437987E-2</v>
      </c>
      <c r="C124" s="3">
        <f>'Historical Prices'!B122/'Historical Prices'!B121-1</f>
        <v>1.1057810905462206E-2</v>
      </c>
      <c r="D124" s="3">
        <f>'Historical Prices'!D122/'Historical Prices'!D121-1</f>
        <v>7.1852800020519858E-3</v>
      </c>
      <c r="E124" s="3">
        <f>'Historical Prices'!E122/'Historical Prices'!E121-1</f>
        <v>1.4994020528817709E-2</v>
      </c>
      <c r="F124" s="3">
        <f>'Historical Prices'!F122/'Historical Prices'!F121-1</f>
        <v>1.5460929473256613E-2</v>
      </c>
      <c r="G124" s="9">
        <f t="shared" si="2"/>
        <v>1.2030452050696378E-2</v>
      </c>
      <c r="H124" s="6">
        <f t="shared" si="3"/>
        <v>12030.452050696378</v>
      </c>
    </row>
    <row r="125" spans="1:8" x14ac:dyDescent="0.25">
      <c r="A125" s="2">
        <f>'Historical Prices'!A123</f>
        <v>45288</v>
      </c>
      <c r="B125" s="3">
        <f>'Historical Prices'!C123/'Historical Prices'!C122-1</f>
        <v>1.1447588121542562E-3</v>
      </c>
      <c r="C125" s="3">
        <f>'Historical Prices'!B123/'Historical Prices'!B122-1</f>
        <v>1.3557448943342099E-3</v>
      </c>
      <c r="D125" s="3">
        <f>'Historical Prices'!D123/'Historical Prices'!D122-1</f>
        <v>3.6417869792118029E-3</v>
      </c>
      <c r="E125" s="3">
        <f>'Historical Prices'!E123/'Historical Prices'!E122-1</f>
        <v>-2.8394454696213378E-3</v>
      </c>
      <c r="F125" s="3">
        <f>'Historical Prices'!F123/'Historical Prices'!F122-1</f>
        <v>2.754817216186578E-2</v>
      </c>
      <c r="G125" s="9">
        <f t="shared" si="2"/>
        <v>6.114585512554619E-3</v>
      </c>
      <c r="H125" s="6">
        <f t="shared" si="3"/>
        <v>6114.5855125546186</v>
      </c>
    </row>
    <row r="126" spans="1:8" x14ac:dyDescent="0.25">
      <c r="A126" s="2">
        <f>'Historical Prices'!A124</f>
        <v>45289</v>
      </c>
      <c r="B126" s="3">
        <f>'Historical Prices'!C124/'Historical Prices'!C123-1</f>
        <v>2.3457355713003558E-3</v>
      </c>
      <c r="C126" s="3">
        <f>'Historical Prices'!B124/'Historical Prices'!B123-1</f>
        <v>-5.0096191845573346E-3</v>
      </c>
      <c r="D126" s="3">
        <f>'Historical Prices'!D124/'Historical Prices'!D123-1</f>
        <v>-9.2454745926539017E-3</v>
      </c>
      <c r="E126" s="3">
        <f>'Historical Prices'!E124/'Historical Prices'!E123-1</f>
        <v>-1.2638927540799538E-2</v>
      </c>
      <c r="F126" s="3">
        <f>'Historical Prices'!F124/'Historical Prices'!F123-1</f>
        <v>-2.9115015323353255E-3</v>
      </c>
      <c r="G126" s="9">
        <f t="shared" si="2"/>
        <v>-5.4276947424707405E-3</v>
      </c>
      <c r="H126" s="6">
        <f t="shared" si="3"/>
        <v>-5427.6947424707405</v>
      </c>
    </row>
    <row r="127" spans="1:8" x14ac:dyDescent="0.25">
      <c r="A127" s="2">
        <f>'Historical Prices'!A125</f>
        <v>45292</v>
      </c>
      <c r="B127" s="3">
        <f>'Historical Prices'!C125/'Historical Prices'!C124-1</f>
        <v>-6.5234067483543878E-3</v>
      </c>
      <c r="C127" s="3">
        <f>'Historical Prices'!B125/'Historical Prices'!B124-1</f>
        <v>-4.1732040647278756E-3</v>
      </c>
      <c r="D127" s="3">
        <f>'Historical Prices'!D125/'Historical Prices'!D124-1</f>
        <v>2.8095500093687775E-3</v>
      </c>
      <c r="E127" s="3">
        <f>'Historical Prices'!E125/'Historical Prices'!E124-1</f>
        <v>5.4767485016682382E-3</v>
      </c>
      <c r="F127" s="3">
        <f>'Historical Prices'!F125/'Historical Prices'!F124-1</f>
        <v>-1.5091933709548089E-2</v>
      </c>
      <c r="G127" s="9">
        <f t="shared" si="2"/>
        <v>-3.4049260539581357E-3</v>
      </c>
      <c r="H127" s="6">
        <f t="shared" si="3"/>
        <v>-3404.9260539581355</v>
      </c>
    </row>
    <row r="128" spans="1:8" x14ac:dyDescent="0.25">
      <c r="A128" s="2">
        <f>'Historical Prices'!A126</f>
        <v>45293</v>
      </c>
      <c r="B128" s="3">
        <f>'Historical Prices'!C126/'Historical Prices'!C125-1</f>
        <v>5.8895945391412852E-4</v>
      </c>
      <c r="C128" s="3">
        <f>'Historical Prices'!B126/'Historical Prices'!B125-1</f>
        <v>-4.0539160693237042E-3</v>
      </c>
      <c r="D128" s="3">
        <f>'Historical Prices'!D126/'Historical Prices'!D125-1</f>
        <v>-1.7160359384537083E-2</v>
      </c>
      <c r="E128" s="3">
        <f>'Historical Prices'!E126/'Historical Prices'!E125-1</f>
        <v>-1.0926024577898819E-2</v>
      </c>
      <c r="F128" s="3">
        <f>'Historical Prices'!F126/'Historical Prices'!F125-1</f>
        <v>-2.7652292849369098E-2</v>
      </c>
      <c r="G128" s="9">
        <f t="shared" si="2"/>
        <v>-1.1885644854226475E-2</v>
      </c>
      <c r="H128" s="6">
        <f t="shared" si="3"/>
        <v>-11885.644854226475</v>
      </c>
    </row>
    <row r="129" spans="1:8" x14ac:dyDescent="0.25">
      <c r="A129" s="2">
        <f>'Historical Prices'!A127</f>
        <v>45294</v>
      </c>
      <c r="B129" s="3">
        <f>'Historical Prices'!C127/'Historical Prices'!C126-1</f>
        <v>-1.541992926592517E-2</v>
      </c>
      <c r="C129" s="3">
        <f>'Historical Prices'!B127/'Historical Prices'!B126-1</f>
        <v>4.8937457363147363E-3</v>
      </c>
      <c r="D129" s="3">
        <f>'Historical Prices'!D127/'Historical Prices'!D126-1</f>
        <v>1.8326532507320081E-3</v>
      </c>
      <c r="E129" s="3">
        <f>'Historical Prices'!E127/'Historical Prices'!E126-1</f>
        <v>-2.8936296069155265E-2</v>
      </c>
      <c r="F129" s="3">
        <f>'Historical Prices'!F127/'Historical Prices'!F126-1</f>
        <v>-5.7363204450056049E-4</v>
      </c>
      <c r="G129" s="9">
        <f t="shared" si="2"/>
        <v>-7.3679191213318887E-3</v>
      </c>
      <c r="H129" s="6">
        <f t="shared" si="3"/>
        <v>-7367.9191213318891</v>
      </c>
    </row>
    <row r="130" spans="1:8" x14ac:dyDescent="0.25">
      <c r="A130" s="2">
        <f>'Historical Prices'!A128</f>
        <v>45295</v>
      </c>
      <c r="B130" s="3">
        <f>'Historical Prices'!C128/'Historical Prices'!C127-1</f>
        <v>1.0729871622110254E-2</v>
      </c>
      <c r="C130" s="3">
        <f>'Historical Prices'!B128/'Historical Prices'!B127-1</f>
        <v>2.2574265542222971E-2</v>
      </c>
      <c r="D130" s="3">
        <f>'Historical Prices'!D128/'Historical Prices'!D127-1</f>
        <v>3.1502116903094901E-3</v>
      </c>
      <c r="E130" s="3">
        <f>'Historical Prices'!E128/'Historical Prices'!E127-1</f>
        <v>1.5234835862886209E-2</v>
      </c>
      <c r="F130" s="3">
        <f>'Historical Prices'!F128/'Historical Prices'!F127-1</f>
        <v>-8.1859667865210595E-3</v>
      </c>
      <c r="G130" s="9">
        <f t="shared" si="2"/>
        <v>8.3624761673905465E-3</v>
      </c>
      <c r="H130" s="6">
        <f t="shared" si="3"/>
        <v>8362.4761673905468</v>
      </c>
    </row>
    <row r="131" spans="1:8" x14ac:dyDescent="0.25">
      <c r="A131" s="2">
        <f>'Historical Prices'!A129</f>
        <v>45296</v>
      </c>
      <c r="B131" s="3">
        <f>'Historical Prices'!C129/'Historical Prices'!C128-1</f>
        <v>-5.1157964276130619E-3</v>
      </c>
      <c r="C131" s="3">
        <f>'Historical Prices'!B129/'Historical Prices'!B128-1</f>
        <v>1.2061392043276165E-2</v>
      </c>
      <c r="D131" s="3">
        <f>'Historical Prices'!D129/'Historical Prices'!D128-1</f>
        <v>6.635209609466175E-3</v>
      </c>
      <c r="E131" s="3">
        <f>'Historical Prices'!E129/'Historical Prices'!E128-1</f>
        <v>1.3122297511540593E-2</v>
      </c>
      <c r="F131" s="3">
        <f>'Historical Prices'!F129/'Historical Prices'!F128-1</f>
        <v>1.8272681509490241E-4</v>
      </c>
      <c r="G131" s="9">
        <f t="shared" si="2"/>
        <v>5.1106474225144465E-3</v>
      </c>
      <c r="H131" s="6">
        <f t="shared" si="3"/>
        <v>5110.6474225144466</v>
      </c>
    </row>
    <row r="132" spans="1:8" x14ac:dyDescent="0.25">
      <c r="A132" s="2">
        <f>'Historical Prices'!A130</f>
        <v>45299</v>
      </c>
      <c r="B132" s="3">
        <f>'Historical Prices'!C130/'Historical Prices'!C129-1</f>
        <v>-1.1146173043430907E-2</v>
      </c>
      <c r="C132" s="3">
        <f>'Historical Prices'!B130/'Historical Prices'!B129-1</f>
        <v>-1.3149083720582877E-2</v>
      </c>
      <c r="D132" s="3">
        <f>'Historical Prices'!D130/'Historical Prices'!D129-1</f>
        <v>-1.1774198787885548E-2</v>
      </c>
      <c r="E132" s="3">
        <f>'Historical Prices'!E130/'Historical Prices'!E129-1</f>
        <v>-6.3619885574781598E-3</v>
      </c>
      <c r="F132" s="3">
        <f>'Historical Prices'!F130/'Historical Prices'!F129-1</f>
        <v>-1.5743063008332503E-2</v>
      </c>
      <c r="G132" s="9">
        <f t="shared" si="2"/>
        <v>-1.1664186189034762E-2</v>
      </c>
      <c r="H132" s="6">
        <f t="shared" si="3"/>
        <v>-11664.186189034761</v>
      </c>
    </row>
    <row r="133" spans="1:8" x14ac:dyDescent="0.25">
      <c r="A133" s="2">
        <f>'Historical Prices'!A131</f>
        <v>45300</v>
      </c>
      <c r="B133" s="3">
        <f>'Historical Prices'!C131/'Historical Prices'!C130-1</f>
        <v>-7.7849203838997738E-3</v>
      </c>
      <c r="C133" s="3">
        <f>'Historical Prices'!B131/'Historical Prices'!B130-1</f>
        <v>-4.8573399719192834E-3</v>
      </c>
      <c r="D133" s="3">
        <f>'Historical Prices'!D131/'Historical Prices'!D130-1</f>
        <v>-2.291224538666925E-3</v>
      </c>
      <c r="E133" s="3">
        <f>'Historical Prices'!E131/'Historical Prices'!E130-1</f>
        <v>4.2685107324280658E-3</v>
      </c>
      <c r="F133" s="3">
        <f>'Historical Prices'!F131/'Historical Prices'!F130-1</f>
        <v>8.5079366358744579E-3</v>
      </c>
      <c r="G133" s="9">
        <f t="shared" si="2"/>
        <v>-6.2807662507905404E-4</v>
      </c>
      <c r="H133" s="6">
        <f t="shared" si="3"/>
        <v>-628.076625079054</v>
      </c>
    </row>
    <row r="134" spans="1:8" x14ac:dyDescent="0.25">
      <c r="A134" s="2">
        <f>'Historical Prices'!A132</f>
        <v>45301</v>
      </c>
      <c r="B134" s="3">
        <f>'Historical Prices'!C132/'Historical Prices'!C131-1</f>
        <v>3.3019166317220794E-3</v>
      </c>
      <c r="C134" s="3">
        <f>'Historical Prices'!B132/'Historical Prices'!B131-1</f>
        <v>-8.5532055589100375E-3</v>
      </c>
      <c r="D134" s="3">
        <f>'Historical Prices'!D132/'Historical Prices'!D131-1</f>
        <v>1.357491199494909E-2</v>
      </c>
      <c r="E134" s="3">
        <f>'Historical Prices'!E132/'Historical Prices'!E131-1</f>
        <v>-6.146667361910052E-3</v>
      </c>
      <c r="F134" s="3">
        <f>'Historical Prices'!F132/'Historical Prices'!F131-1</f>
        <v>1.7792496289614768E-3</v>
      </c>
      <c r="G134" s="9">
        <f t="shared" ref="G134:G197" si="4">SUMPRODUCT(B134:F134, $B$2:$F$2)</f>
        <v>1.4266655397362886E-3</v>
      </c>
      <c r="H134" s="6">
        <f t="shared" ref="H134:H197" si="5">G134*1000000</f>
        <v>1426.6655397362886</v>
      </c>
    </row>
    <row r="135" spans="1:8" x14ac:dyDescent="0.25">
      <c r="A135" s="2">
        <f>'Historical Prices'!A133</f>
        <v>45302</v>
      </c>
      <c r="B135" s="3">
        <f>'Historical Prices'!C133/'Historical Prices'!C132-1</f>
        <v>-4.1968603496739254E-3</v>
      </c>
      <c r="C135" s="3">
        <f>'Historical Prices'!B133/'Historical Prices'!B132-1</f>
        <v>1.6937634328731077E-2</v>
      </c>
      <c r="D135" s="3">
        <f>'Historical Prices'!D133/'Historical Prices'!D132-1</f>
        <v>-1.9132642615389273E-3</v>
      </c>
      <c r="E135" s="3">
        <f>'Historical Prices'!E133/'Historical Prices'!E132-1</f>
        <v>-1.6909046191989741E-2</v>
      </c>
      <c r="F135" s="3">
        <f>'Historical Prices'!F133/'Historical Prices'!F132-1</f>
        <v>-2.5415884789914411E-3</v>
      </c>
      <c r="G135" s="9">
        <f t="shared" si="4"/>
        <v>-1.8051238145476308E-3</v>
      </c>
      <c r="H135" s="6">
        <f t="shared" si="5"/>
        <v>-1805.1238145476309</v>
      </c>
    </row>
    <row r="136" spans="1:8" x14ac:dyDescent="0.25">
      <c r="A136" s="2">
        <f>'Historical Prices'!A134</f>
        <v>45303</v>
      </c>
      <c r="B136" s="3">
        <f>'Historical Prices'!C134/'Historical Prices'!C133-1</f>
        <v>-4.7302051332679396E-3</v>
      </c>
      <c r="C136" s="3">
        <f>'Historical Prices'!B134/'Historical Prices'!B133-1</f>
        <v>-4.7968123713871824E-3</v>
      </c>
      <c r="D136" s="3">
        <f>'Historical Prices'!D134/'Historical Prices'!D133-1</f>
        <v>1.2460277992043078E-2</v>
      </c>
      <c r="E136" s="3">
        <f>'Historical Prices'!E134/'Historical Prices'!E133-1</f>
        <v>7.9340171134446358E-2</v>
      </c>
      <c r="F136" s="3">
        <f>'Historical Prices'!F134/'Historical Prices'!F133-1</f>
        <v>-2.5789040984220968E-3</v>
      </c>
      <c r="G136" s="9">
        <f t="shared" si="4"/>
        <v>1.5079973232049529E-2</v>
      </c>
      <c r="H136" s="6">
        <f t="shared" si="5"/>
        <v>15079.97323204953</v>
      </c>
    </row>
    <row r="137" spans="1:8" x14ac:dyDescent="0.25">
      <c r="A137" s="2">
        <f>'Historical Prices'!A135</f>
        <v>45306</v>
      </c>
      <c r="B137" s="3">
        <f>'Historical Prices'!C135/'Historical Prices'!C134-1</f>
        <v>1.9254263629960189E-2</v>
      </c>
      <c r="C137" s="3">
        <f>'Historical Prices'!B135/'Historical Prices'!B134-1</f>
        <v>-7.5863344188498161E-4</v>
      </c>
      <c r="D137" s="3">
        <f>'Historical Prices'!D135/'Historical Prices'!D134-1</f>
        <v>6.3278000409201507E-3</v>
      </c>
      <c r="E137" s="3">
        <f>'Historical Prices'!E135/'Historical Prices'!E134-1</f>
        <v>2.4399296761711708E-2</v>
      </c>
      <c r="F137" s="3">
        <f>'Historical Prices'!F135/'Historical Prices'!F134-1</f>
        <v>6.8331488332005197E-3</v>
      </c>
      <c r="G137" s="9">
        <f t="shared" si="4"/>
        <v>1.1170248528331064E-2</v>
      </c>
      <c r="H137" s="6">
        <f t="shared" si="5"/>
        <v>11170.248528331063</v>
      </c>
    </row>
    <row r="138" spans="1:8" x14ac:dyDescent="0.25">
      <c r="A138" s="2">
        <f>'Historical Prices'!A136</f>
        <v>45307</v>
      </c>
      <c r="B138" s="3">
        <f>'Historical Prices'!C136/'Historical Prices'!C135-1</f>
        <v>3.7960173749529424E-3</v>
      </c>
      <c r="C138" s="3">
        <f>'Historical Prices'!B136/'Historical Prices'!B135-1</f>
        <v>-3.5730716097581716E-4</v>
      </c>
      <c r="D138" s="3">
        <f>'Historical Prices'!D136/'Historical Prices'!D135-1</f>
        <v>-7.9213423773050184E-4</v>
      </c>
      <c r="E138" s="3">
        <f>'Historical Prices'!E136/'Historical Prices'!E135-1</f>
        <v>-1.2438734593797851E-2</v>
      </c>
      <c r="F138" s="3">
        <f>'Historical Prices'!F136/'Historical Prices'!F135-1</f>
        <v>-9.2935325425271831E-3</v>
      </c>
      <c r="G138" s="9">
        <f t="shared" si="4"/>
        <v>-3.5321549646312941E-3</v>
      </c>
      <c r="H138" s="6">
        <f t="shared" si="5"/>
        <v>-3532.1549646312942</v>
      </c>
    </row>
    <row r="139" spans="1:8" x14ac:dyDescent="0.25">
      <c r="A139" s="2">
        <f>'Historical Prices'!A137</f>
        <v>45308</v>
      </c>
      <c r="B139" s="3">
        <f>'Historical Prices'!C137/'Historical Prices'!C136-1</f>
        <v>-8.4358169335404631E-2</v>
      </c>
      <c r="C139" s="3">
        <f>'Historical Prices'!B137/'Historical Prices'!B136-1</f>
        <v>-3.288357113850604E-2</v>
      </c>
      <c r="D139" s="3">
        <f>'Historical Prices'!D137/'Historical Prices'!D136-1</f>
        <v>-2.7055157142308883E-2</v>
      </c>
      <c r="E139" s="3">
        <f>'Historical Prices'!E137/'Historical Prices'!E136-1</f>
        <v>5.3016834982388961E-3</v>
      </c>
      <c r="F139" s="3">
        <f>'Historical Prices'!F137/'Historical Prices'!F136-1</f>
        <v>-1.397854017270761E-2</v>
      </c>
      <c r="G139" s="9">
        <f t="shared" si="4"/>
        <v>-3.1708576087674731E-2</v>
      </c>
      <c r="H139" s="6">
        <f t="shared" si="5"/>
        <v>-31708.57608767473</v>
      </c>
    </row>
    <row r="140" spans="1:8" x14ac:dyDescent="0.25">
      <c r="A140" s="2">
        <f>'Historical Prices'!A138</f>
        <v>45309</v>
      </c>
      <c r="B140" s="3">
        <f>'Historical Prices'!C138/'Historical Prices'!C137-1</f>
        <v>-3.3398403377948749E-2</v>
      </c>
      <c r="C140" s="3">
        <f>'Historical Prices'!B138/'Historical Prices'!B137-1</f>
        <v>1.4044127639435633E-2</v>
      </c>
      <c r="D140" s="3">
        <f>'Historical Prices'!D138/'Historical Prices'!D137-1</f>
        <v>4.6854425917628451E-3</v>
      </c>
      <c r="E140" s="3">
        <f>'Historical Prices'!E138/'Historical Prices'!E137-1</f>
        <v>1.4632946362611587E-3</v>
      </c>
      <c r="F140" s="3">
        <f>'Historical Prices'!F138/'Historical Prices'!F137-1</f>
        <v>1.2236402364117716E-2</v>
      </c>
      <c r="G140" s="9">
        <f t="shared" si="4"/>
        <v>-7.4459170074310174E-4</v>
      </c>
      <c r="H140" s="6">
        <f t="shared" si="5"/>
        <v>-744.5917007431018</v>
      </c>
    </row>
    <row r="141" spans="1:8" x14ac:dyDescent="0.25">
      <c r="A141" s="2">
        <f>'Historical Prices'!A139</f>
        <v>45310</v>
      </c>
      <c r="B141" s="3">
        <f>'Historical Prices'!C139/'Historical Prices'!C138-1</f>
        <v>-1.0429643781651676E-2</v>
      </c>
      <c r="C141" s="3">
        <f>'Historical Prices'!B139/'Historical Prices'!B138-1</f>
        <v>1.7357739231534719E-2</v>
      </c>
      <c r="D141" s="3">
        <f>'Historical Prices'!D139/'Historical Prices'!D138-1</f>
        <v>1.3027866497856477E-2</v>
      </c>
      <c r="E141" s="3">
        <f>'Historical Prices'!E139/'Historical Prices'!E138-1</f>
        <v>1.0105842118161457E-2</v>
      </c>
      <c r="F141" s="3">
        <f>'Historical Prices'!F139/'Historical Prices'!F138-1</f>
        <v>2.3682146725698683E-2</v>
      </c>
      <c r="G141" s="9">
        <f t="shared" si="4"/>
        <v>1.0404872934154551E-2</v>
      </c>
      <c r="H141" s="6">
        <f t="shared" si="5"/>
        <v>10404.872934154551</v>
      </c>
    </row>
    <row r="142" spans="1:8" x14ac:dyDescent="0.25">
      <c r="A142" s="2">
        <f>'Historical Prices'!A140</f>
        <v>45314</v>
      </c>
      <c r="B142" s="3">
        <f>'Historical Prices'!C140/'Historical Prices'!C139-1</f>
        <v>-2.9442724171041879E-2</v>
      </c>
      <c r="C142" s="3">
        <f>'Historical Prices'!B140/'Historical Prices'!B139-1</f>
        <v>-2.4450395692745208E-2</v>
      </c>
      <c r="D142" s="3">
        <f>'Historical Prices'!D140/'Historical Prices'!D139-1</f>
        <v>2.9873919890690548E-2</v>
      </c>
      <c r="E142" s="3">
        <f>'Historical Prices'!E140/'Historical Prices'!E139-1</f>
        <v>-1.0275936772898842E-2</v>
      </c>
      <c r="F142" s="3">
        <f>'Historical Prices'!F140/'Historical Prices'!F139-1</f>
        <v>-3.6453137047171458E-2</v>
      </c>
      <c r="G142" s="9">
        <f t="shared" si="4"/>
        <v>-1.2816889997924108E-2</v>
      </c>
      <c r="H142" s="6">
        <f t="shared" si="5"/>
        <v>-12816.889997924107</v>
      </c>
    </row>
    <row r="143" spans="1:8" x14ac:dyDescent="0.25">
      <c r="A143" s="2">
        <f>'Historical Prices'!A141</f>
        <v>45315</v>
      </c>
      <c r="B143" s="3">
        <f>'Historical Prices'!C141/'Historical Prices'!C140-1</f>
        <v>2.0002041744657362E-2</v>
      </c>
      <c r="C143" s="3">
        <f>'Historical Prices'!B141/'Historical Prices'!B140-1</f>
        <v>-2.7633586825819956E-2</v>
      </c>
      <c r="D143" s="3">
        <f>'Historical Prices'!D141/'Historical Prices'!D140-1</f>
        <v>-2.9007356447924515E-2</v>
      </c>
      <c r="E143" s="3">
        <f>'Historical Prices'!E141/'Historical Prices'!E140-1</f>
        <v>2.0247794355013893E-2</v>
      </c>
      <c r="F143" s="3">
        <f>'Historical Prices'!F141/'Historical Prices'!F140-1</f>
        <v>2.0624382496171378E-2</v>
      </c>
      <c r="G143" s="9">
        <f t="shared" si="4"/>
        <v>2.1484655486475688E-4</v>
      </c>
      <c r="H143" s="6">
        <f t="shared" si="5"/>
        <v>214.84655486475688</v>
      </c>
    </row>
    <row r="144" spans="1:8" x14ac:dyDescent="0.25">
      <c r="A144" s="2">
        <f>'Historical Prices'!A142</f>
        <v>45316</v>
      </c>
      <c r="B144" s="3">
        <f>'Historical Prices'!C142/'Historical Prices'!C141-1</f>
        <v>-1.4424019916891573E-2</v>
      </c>
      <c r="C144" s="3">
        <f>'Historical Prices'!B142/'Historical Prices'!B141-1</f>
        <v>-1.5956259557188823E-2</v>
      </c>
      <c r="D144" s="3">
        <f>'Historical Prices'!D142/'Historical Prices'!D141-1</f>
        <v>1.0758613107528125E-2</v>
      </c>
      <c r="E144" s="3">
        <f>'Historical Prices'!E142/'Historical Prices'!E141-1</f>
        <v>-3.7603374491931296E-3</v>
      </c>
      <c r="F144" s="3">
        <f>'Historical Prices'!F142/'Historical Prices'!F141-1</f>
        <v>4.545168496658647E-3</v>
      </c>
      <c r="G144" s="9">
        <f t="shared" si="4"/>
        <v>-3.3377839247122573E-3</v>
      </c>
      <c r="H144" s="6">
        <f t="shared" si="5"/>
        <v>-3337.7839247122574</v>
      </c>
    </row>
    <row r="145" spans="1:8" x14ac:dyDescent="0.25">
      <c r="A145" s="2">
        <f>'Historical Prices'!A143</f>
        <v>45320</v>
      </c>
      <c r="B145" s="3">
        <f>'Historical Prices'!C143/'Historical Prices'!C142-1</f>
        <v>1.3764078635124299E-2</v>
      </c>
      <c r="C145" s="3">
        <f>'Historical Prices'!B143/'Historical Prices'!B142-1</f>
        <v>1.8229742063384569E-2</v>
      </c>
      <c r="D145" s="3">
        <f>'Historical Prices'!D143/'Historical Prices'!D142-1</f>
        <v>6.386495594510988E-3</v>
      </c>
      <c r="E145" s="3">
        <f>'Historical Prices'!E143/'Historical Prices'!E142-1</f>
        <v>-7.4889849661595731E-3</v>
      </c>
      <c r="F145" s="3">
        <f>'Historical Prices'!F143/'Historical Prices'!F142-1</f>
        <v>2.7515225351748551E-3</v>
      </c>
      <c r="G145" s="9">
        <f t="shared" si="4"/>
        <v>6.8638260308407067E-3</v>
      </c>
      <c r="H145" s="6">
        <f t="shared" si="5"/>
        <v>6863.8260308407071</v>
      </c>
    </row>
    <row r="146" spans="1:8" x14ac:dyDescent="0.25">
      <c r="A146" s="2">
        <f>'Historical Prices'!A144</f>
        <v>45321</v>
      </c>
      <c r="B146" s="3">
        <f>'Historical Prices'!C144/'Historical Prices'!C143-1</f>
        <v>-7.1150555648452629E-3</v>
      </c>
      <c r="C146" s="3">
        <f>'Historical Prices'!B144/'Historical Prices'!B143-1</f>
        <v>-6.7373854037416914E-3</v>
      </c>
      <c r="D146" s="3">
        <f>'Historical Prices'!D144/'Historical Prices'!D143-1</f>
        <v>4.9196263053574718E-4</v>
      </c>
      <c r="E146" s="3">
        <f>'Historical Prices'!E144/'Historical Prices'!E143-1</f>
        <v>-3.1088726730331695E-3</v>
      </c>
      <c r="F146" s="3">
        <f>'Historical Prices'!F144/'Historical Prices'!F143-1</f>
        <v>-1.1981738011121013E-2</v>
      </c>
      <c r="G146" s="9">
        <f t="shared" si="4"/>
        <v>-5.5117540440288715E-3</v>
      </c>
      <c r="H146" s="6">
        <f t="shared" si="5"/>
        <v>-5511.7540440288712</v>
      </c>
    </row>
    <row r="147" spans="1:8" x14ac:dyDescent="0.25">
      <c r="A147" s="2">
        <f>'Historical Prices'!A145</f>
        <v>45322</v>
      </c>
      <c r="B147" s="3">
        <f>'Historical Prices'!C145/'Historical Prices'!C144-1</f>
        <v>1.2635858315975579E-2</v>
      </c>
      <c r="C147" s="3">
        <f>'Historical Prices'!B145/'Historical Prices'!B144-1</f>
        <v>1.2949421650618076E-2</v>
      </c>
      <c r="D147" s="3">
        <f>'Historical Prices'!D145/'Historical Prices'!D144-1</f>
        <v>1.1063008784532258E-2</v>
      </c>
      <c r="E147" s="3">
        <f>'Historical Prices'!E145/'Historical Prices'!E144-1</f>
        <v>5.7222673047434558E-3</v>
      </c>
      <c r="F147" s="3">
        <f>'Historical Prices'!F145/'Historical Prices'!F144-1</f>
        <v>1.9255065340480382E-2</v>
      </c>
      <c r="G147" s="9">
        <f t="shared" si="4"/>
        <v>1.2338734504687837E-2</v>
      </c>
      <c r="H147" s="6">
        <f t="shared" si="5"/>
        <v>12338.734504687836</v>
      </c>
    </row>
    <row r="148" spans="1:8" x14ac:dyDescent="0.25">
      <c r="A148" s="2">
        <f>'Historical Prices'!A146</f>
        <v>45323</v>
      </c>
      <c r="B148" s="3">
        <f>'Historical Prices'!C146/'Historical Prices'!C145-1</f>
        <v>2.5980566787080495E-3</v>
      </c>
      <c r="C148" s="3">
        <f>'Historical Prices'!B146/'Historical Prices'!B145-1</f>
        <v>1.5453120987239943E-2</v>
      </c>
      <c r="D148" s="3">
        <f>'Historical Prices'!D146/'Historical Prices'!D145-1</f>
        <v>-2.9179203179460211E-3</v>
      </c>
      <c r="E148" s="3">
        <f>'Historical Prices'!E146/'Historical Prices'!E145-1</f>
        <v>-2.317961763201315E-3</v>
      </c>
      <c r="F148" s="3">
        <f>'Historical Prices'!F146/'Historical Prices'!F145-1</f>
        <v>-2.4215741399880031E-4</v>
      </c>
      <c r="G148" s="9">
        <f t="shared" si="4"/>
        <v>2.2543711633266164E-3</v>
      </c>
      <c r="H148" s="6">
        <f t="shared" si="5"/>
        <v>2254.3711633266162</v>
      </c>
    </row>
    <row r="149" spans="1:8" x14ac:dyDescent="0.25">
      <c r="A149" s="2">
        <f>'Historical Prices'!A147</f>
        <v>45324</v>
      </c>
      <c r="B149" s="3">
        <f>'Historical Prices'!C147/'Historical Prices'!C146-1</f>
        <v>-1.3775506256310188E-2</v>
      </c>
      <c r="C149" s="3">
        <f>'Historical Prices'!B147/'Historical Prices'!B146-1</f>
        <v>-1.5863487671814003E-2</v>
      </c>
      <c r="D149" s="3">
        <f>'Historical Prices'!D147/'Historical Prices'!D146-1</f>
        <v>-1.1218013360192458E-3</v>
      </c>
      <c r="E149" s="3">
        <f>'Historical Prices'!E147/'Historical Prices'!E146-1</f>
        <v>2.1906244659075647E-2</v>
      </c>
      <c r="F149" s="3">
        <f>'Historical Prices'!F147/'Historical Prices'!F146-1</f>
        <v>5.8140959435066808E-3</v>
      </c>
      <c r="G149" s="9">
        <f t="shared" si="4"/>
        <v>-9.2079804735353821E-4</v>
      </c>
      <c r="H149" s="6">
        <f t="shared" si="5"/>
        <v>-920.79804735353821</v>
      </c>
    </row>
    <row r="150" spans="1:8" x14ac:dyDescent="0.25">
      <c r="A150" s="2">
        <f>'Historical Prices'!A148</f>
        <v>45327</v>
      </c>
      <c r="B150" s="3">
        <f>'Historical Prices'!C148/'Historical Prices'!C147-1</f>
        <v>-8.990831802244692E-4</v>
      </c>
      <c r="C150" s="3">
        <f>'Historical Prices'!B148/'Historical Prices'!B147-1</f>
        <v>-5.2012826550860147E-3</v>
      </c>
      <c r="D150" s="3">
        <f>'Historical Prices'!D148/'Historical Prices'!D147-1</f>
        <v>-4.8825028618726396E-4</v>
      </c>
      <c r="E150" s="3">
        <f>'Historical Prices'!E148/'Historical Prices'!E147-1</f>
        <v>-3.6316914478154994E-3</v>
      </c>
      <c r="F150" s="3">
        <f>'Historical Prices'!F148/'Historical Prices'!F147-1</f>
        <v>2.5771453830652158E-2</v>
      </c>
      <c r="G150" s="9">
        <f t="shared" si="4"/>
        <v>3.0456756521680664E-3</v>
      </c>
      <c r="H150" s="6">
        <f t="shared" si="5"/>
        <v>3045.6756521680663</v>
      </c>
    </row>
    <row r="151" spans="1:8" x14ac:dyDescent="0.25">
      <c r="A151" s="2">
        <f>'Historical Prices'!A149</f>
        <v>45328</v>
      </c>
      <c r="B151" s="3">
        <f>'Historical Prices'!C149/'Historical Prices'!C148-1</f>
        <v>-5.1907698353714782E-4</v>
      </c>
      <c r="C151" s="3">
        <f>'Historical Prices'!B149/'Historical Prices'!B148-1</f>
        <v>-1.0786522915525065E-2</v>
      </c>
      <c r="D151" s="3">
        <f>'Historical Prices'!D149/'Historical Prices'!D148-1</f>
        <v>2.8334428032315007E-3</v>
      </c>
      <c r="E151" s="3">
        <f>'Historical Prices'!E149/'Historical Prices'!E148-1</f>
        <v>2.5041475137018709E-2</v>
      </c>
      <c r="F151" s="3">
        <f>'Historical Prices'!F149/'Historical Prices'!F148-1</f>
        <v>1.4146967144199385E-2</v>
      </c>
      <c r="G151" s="9">
        <f t="shared" si="4"/>
        <v>5.8929731500252675E-3</v>
      </c>
      <c r="H151" s="6">
        <f t="shared" si="5"/>
        <v>5892.9731500252674</v>
      </c>
    </row>
    <row r="152" spans="1:8" x14ac:dyDescent="0.25">
      <c r="A152" s="2">
        <f>'Historical Prices'!A150</f>
        <v>45329</v>
      </c>
      <c r="B152" s="3">
        <f>'Historical Prices'!C150/'Historical Prices'!C149-1</f>
        <v>-9.7984621056215193E-3</v>
      </c>
      <c r="C152" s="3">
        <f>'Historical Prices'!B150/'Historical Prices'!B149-1</f>
        <v>1.8141871408446031E-2</v>
      </c>
      <c r="D152" s="3">
        <f>'Historical Prices'!D150/'Historical Prices'!D149-1</f>
        <v>-4.1406668694662363E-3</v>
      </c>
      <c r="E152" s="3">
        <f>'Historical Prices'!E150/'Historical Prices'!E149-1</f>
        <v>-2.0642372235642359E-2</v>
      </c>
      <c r="F152" s="3">
        <f>'Historical Prices'!F150/'Historical Prices'!F149-1</f>
        <v>-3.8491416606944995E-3</v>
      </c>
      <c r="G152" s="9">
        <f t="shared" si="4"/>
        <v>-4.2106321319950926E-3</v>
      </c>
      <c r="H152" s="6">
        <f t="shared" si="5"/>
        <v>-4210.632131995093</v>
      </c>
    </row>
    <row r="153" spans="1:8" x14ac:dyDescent="0.25">
      <c r="A153" s="2">
        <f>'Historical Prices'!A151</f>
        <v>45330</v>
      </c>
      <c r="B153" s="3">
        <f>'Historical Prices'!C151/'Historical Prices'!C150-1</f>
        <v>-1.8811857531741527E-2</v>
      </c>
      <c r="C153" s="3">
        <f>'Historical Prices'!B151/'Historical Prices'!B150-1</f>
        <v>-3.1054118402188302E-2</v>
      </c>
      <c r="D153" s="3">
        <f>'Historical Prices'!D151/'Historical Prices'!D150-1</f>
        <v>-3.2138156100926851E-2</v>
      </c>
      <c r="E153" s="3">
        <f>'Historical Prices'!E151/'Historical Prices'!E150-1</f>
        <v>-9.7430145018195802E-4</v>
      </c>
      <c r="F153" s="3">
        <f>'Historical Prices'!F151/'Historical Prices'!F150-1</f>
        <v>-2.0395174333719068E-2</v>
      </c>
      <c r="G153" s="9">
        <f t="shared" si="4"/>
        <v>-2.112602887392535E-2</v>
      </c>
      <c r="H153" s="6">
        <f t="shared" si="5"/>
        <v>-21126.028873925352</v>
      </c>
    </row>
    <row r="154" spans="1:8" x14ac:dyDescent="0.25">
      <c r="A154" s="2">
        <f>'Historical Prices'!A152</f>
        <v>45331</v>
      </c>
      <c r="B154" s="3">
        <f>'Historical Prices'!C152/'Historical Prices'!C151-1</f>
        <v>3.9197888002528991E-4</v>
      </c>
      <c r="C154" s="3">
        <f>'Historical Prices'!B152/'Historical Prices'!B151-1</f>
        <v>1.4962946705789903E-2</v>
      </c>
      <c r="D154" s="3">
        <f>'Historical Prices'!D152/'Historical Prices'!D151-1</f>
        <v>2.1631436751354371E-2</v>
      </c>
      <c r="E154" s="3">
        <f>'Historical Prices'!E152/'Historical Prices'!E151-1</f>
        <v>-1.3444741755198053E-2</v>
      </c>
      <c r="F154" s="3">
        <f>'Historical Prices'!F152/'Historical Prices'!F151-1</f>
        <v>-2.3429553351920207E-2</v>
      </c>
      <c r="G154" s="9">
        <f t="shared" si="4"/>
        <v>7.7418402522811368E-4</v>
      </c>
      <c r="H154" s="6">
        <f t="shared" si="5"/>
        <v>774.18402522811368</v>
      </c>
    </row>
    <row r="155" spans="1:8" x14ac:dyDescent="0.25">
      <c r="A155" s="2">
        <f>'Historical Prices'!A153</f>
        <v>45334</v>
      </c>
      <c r="B155" s="3">
        <f>'Historical Prices'!C153/'Historical Prices'!C152-1</f>
        <v>-9.6892745500934963E-3</v>
      </c>
      <c r="C155" s="3">
        <f>'Historical Prices'!B153/'Historical Prices'!B152-1</f>
        <v>-4.4704352145348292E-3</v>
      </c>
      <c r="D155" s="3">
        <f>'Historical Prices'!D153/'Historical Prices'!D152-1</f>
        <v>-1.4445420892997718E-2</v>
      </c>
      <c r="E155" s="3">
        <f>'Historical Prices'!E153/'Historical Prices'!E152-1</f>
        <v>6.4395701324684307E-3</v>
      </c>
      <c r="F155" s="3">
        <f>'Historical Prices'!F153/'Historical Prices'!F152-1</f>
        <v>8.533745084073896E-3</v>
      </c>
      <c r="G155" s="9">
        <f t="shared" si="4"/>
        <v>-3.3248184850346784E-3</v>
      </c>
      <c r="H155" s="6">
        <f t="shared" si="5"/>
        <v>-3324.8184850346784</v>
      </c>
    </row>
    <row r="156" spans="1:8" x14ac:dyDescent="0.25">
      <c r="A156" s="2">
        <f>'Historical Prices'!A154</f>
        <v>45335</v>
      </c>
      <c r="B156" s="3">
        <f>'Historical Prices'!C154/'Historical Prices'!C153-1</f>
        <v>3.2013155613928035E-3</v>
      </c>
      <c r="C156" s="3">
        <f>'Historical Prices'!B154/'Historical Prices'!B153-1</f>
        <v>2.2977096202496661E-2</v>
      </c>
      <c r="D156" s="3">
        <f>'Historical Prices'!D154/'Historical Prices'!D153-1</f>
        <v>2.3792738819669257E-2</v>
      </c>
      <c r="E156" s="3">
        <f>'Historical Prices'!E154/'Historical Prices'!E153-1</f>
        <v>2.6487068129519287E-3</v>
      </c>
      <c r="F156" s="3">
        <f>'Historical Prices'!F154/'Historical Prices'!F153-1</f>
        <v>-8.2507750424050119E-3</v>
      </c>
      <c r="G156" s="9">
        <f t="shared" si="4"/>
        <v>9.2286631155819119E-3</v>
      </c>
      <c r="H156" s="6">
        <f t="shared" si="5"/>
        <v>9228.6631155819123</v>
      </c>
    </row>
    <row r="157" spans="1:8" x14ac:dyDescent="0.25">
      <c r="A157" s="2">
        <f>'Historical Prices'!A155</f>
        <v>45336</v>
      </c>
      <c r="B157" s="3">
        <f>'Historical Prices'!C155/'Historical Prices'!C154-1</f>
        <v>-7.4579673960195603E-3</v>
      </c>
      <c r="C157" s="3">
        <f>'Historical Prices'!B155/'Historical Prices'!B154-1</f>
        <v>2.4375393330755557E-2</v>
      </c>
      <c r="D157" s="3">
        <f>'Historical Prices'!D155/'Historical Prices'!D154-1</f>
        <v>2.8437230719080553E-3</v>
      </c>
      <c r="E157" s="3">
        <f>'Historical Prices'!E155/'Historical Prices'!E154-1</f>
        <v>-1.0893169951773585E-2</v>
      </c>
      <c r="F157" s="3">
        <f>'Historical Prices'!F155/'Historical Prices'!F154-1</f>
        <v>6.2547367082372851E-3</v>
      </c>
      <c r="G157" s="9">
        <f t="shared" si="4"/>
        <v>2.769091937762997E-3</v>
      </c>
      <c r="H157" s="6">
        <f t="shared" si="5"/>
        <v>2769.0919377629971</v>
      </c>
    </row>
    <row r="158" spans="1:8" x14ac:dyDescent="0.25">
      <c r="A158" s="2">
        <f>'Historical Prices'!A156</f>
        <v>45337</v>
      </c>
      <c r="B158" s="3">
        <f>'Historical Prices'!C156/'Historical Prices'!C155-1</f>
        <v>2.1675454822285056E-2</v>
      </c>
      <c r="C158" s="3">
        <f>'Historical Prices'!B156/'Historical Prices'!B155-1</f>
        <v>-2.247351204600323E-2</v>
      </c>
      <c r="D158" s="3">
        <f>'Historical Prices'!D156/'Historical Prices'!D155-1</f>
        <v>-5.9156927683685634E-3</v>
      </c>
      <c r="E158" s="3">
        <f>'Historical Prices'!E156/'Historical Prices'!E155-1</f>
        <v>6.0916891234354953E-3</v>
      </c>
      <c r="F158" s="3">
        <f>'Historical Prices'!F156/'Historical Prices'!F155-1</f>
        <v>6.5176144704555128E-2</v>
      </c>
      <c r="G158" s="9">
        <f t="shared" si="4"/>
        <v>1.2774208823539905E-2</v>
      </c>
      <c r="H158" s="6">
        <f t="shared" si="5"/>
        <v>12774.208823539906</v>
      </c>
    </row>
    <row r="159" spans="1:8" x14ac:dyDescent="0.25">
      <c r="A159" s="2">
        <f>'Historical Prices'!A157</f>
        <v>45338</v>
      </c>
      <c r="B159" s="3">
        <f>'Historical Prices'!C157/'Historical Prices'!C156-1</f>
        <v>4.1370427879383609E-3</v>
      </c>
      <c r="C159" s="3">
        <f>'Historical Prices'!B157/'Historical Prices'!B156-1</f>
        <v>-3.2175983938712571E-3</v>
      </c>
      <c r="D159" s="3">
        <f>'Historical Prices'!D157/'Historical Prices'!D156-1</f>
        <v>6.4919038112036809E-3</v>
      </c>
      <c r="E159" s="3">
        <f>'Historical Prices'!E157/'Historical Prices'!E156-1</f>
        <v>1.5092406796300528E-2</v>
      </c>
      <c r="F159" s="3">
        <f>'Historical Prices'!F157/'Historical Prices'!F156-1</f>
        <v>3.9942235910245705E-2</v>
      </c>
      <c r="G159" s="9">
        <f t="shared" si="4"/>
        <v>1.2247181512966988E-2</v>
      </c>
      <c r="H159" s="6">
        <f t="shared" si="5"/>
        <v>12247.181512966989</v>
      </c>
    </row>
    <row r="160" spans="1:8" x14ac:dyDescent="0.25">
      <c r="A160" s="2">
        <f>'Historical Prices'!A158</f>
        <v>45341</v>
      </c>
      <c r="B160" s="3">
        <f>'Historical Prices'!C158/'Historical Prices'!C157-1</f>
        <v>-1.9719211996478414E-3</v>
      </c>
      <c r="C160" s="3">
        <f>'Historical Prices'!B158/'Historical Prices'!B157-1</f>
        <v>-5.4269162681775951E-3</v>
      </c>
      <c r="D160" s="3">
        <f>'Historical Prices'!D158/'Historical Prices'!D157-1</f>
        <v>2.003415610491821E-2</v>
      </c>
      <c r="E160" s="3">
        <f>'Historical Prices'!E158/'Historical Prices'!E157-1</f>
        <v>-1.1165138177442469E-3</v>
      </c>
      <c r="F160" s="3">
        <f>'Historical Prices'!F158/'Historical Prices'!F157-1</f>
        <v>7.0822533013052968E-3</v>
      </c>
      <c r="G160" s="9">
        <f t="shared" si="4"/>
        <v>4.3154341294796769E-3</v>
      </c>
      <c r="H160" s="6">
        <f t="shared" si="5"/>
        <v>4315.4341294796768</v>
      </c>
    </row>
    <row r="161" spans="1:8" x14ac:dyDescent="0.25">
      <c r="A161" s="2">
        <f>'Historical Prices'!A159</f>
        <v>45342</v>
      </c>
      <c r="B161" s="3">
        <f>'Historical Prices'!C159/'Historical Prices'!C158-1</f>
        <v>2.6250761746275941E-2</v>
      </c>
      <c r="C161" s="3">
        <f>'Historical Prices'!B159/'Historical Prices'!B158-1</f>
        <v>2.4130978783774459E-2</v>
      </c>
      <c r="D161" s="3">
        <f>'Historical Prices'!D159/'Historical Prices'!D158-1</f>
        <v>4.7905349429679944E-3</v>
      </c>
      <c r="E161" s="3">
        <f>'Historical Prices'!E159/'Historical Prices'!E158-1</f>
        <v>-8.5307756228946152E-3</v>
      </c>
      <c r="F161" s="3">
        <f>'Historical Prices'!F159/'Historical Prices'!F158-1</f>
        <v>2.7589625628605674E-3</v>
      </c>
      <c r="G161" s="9">
        <f t="shared" si="4"/>
        <v>1.0025207308677191E-2</v>
      </c>
      <c r="H161" s="6">
        <f t="shared" si="5"/>
        <v>10025.207308677191</v>
      </c>
    </row>
    <row r="162" spans="1:8" x14ac:dyDescent="0.25">
      <c r="A162" s="2">
        <f>'Historical Prices'!A160</f>
        <v>45343</v>
      </c>
      <c r="B162" s="3">
        <f>'Historical Prices'!C160/'Historical Prices'!C159-1</f>
        <v>-1.0417430952600726E-2</v>
      </c>
      <c r="C162" s="3">
        <f>'Historical Prices'!B160/'Historical Prices'!B159-1</f>
        <v>-4.0419429562131848E-3</v>
      </c>
      <c r="D162" s="3">
        <f>'Historical Prices'!D160/'Historical Prices'!D159-1</f>
        <v>3.0511888816018296E-3</v>
      </c>
      <c r="E162" s="3">
        <f>'Historical Prices'!E160/'Historical Prices'!E159-1</f>
        <v>-1.7623445589430631E-2</v>
      </c>
      <c r="F162" s="3">
        <f>'Historical Prices'!F160/'Historical Prices'!F159-1</f>
        <v>3.2368044573327648E-3</v>
      </c>
      <c r="G162" s="9">
        <f t="shared" si="4"/>
        <v>-4.8636043275260459E-3</v>
      </c>
      <c r="H162" s="6">
        <f t="shared" si="5"/>
        <v>-4863.6043275260463</v>
      </c>
    </row>
    <row r="163" spans="1:8" x14ac:dyDescent="0.25">
      <c r="A163" s="2">
        <f>'Historical Prices'!A161</f>
        <v>45344</v>
      </c>
      <c r="B163" s="3">
        <f>'Historical Prices'!C161/'Historical Prices'!C160-1</f>
        <v>-1.3619080318770682E-2</v>
      </c>
      <c r="C163" s="3">
        <f>'Historical Prices'!B161/'Historical Prices'!B160-1</f>
        <v>1.5403185258628049E-2</v>
      </c>
      <c r="D163" s="3">
        <f>'Historical Prices'!D161/'Historical Prices'!D160-1</f>
        <v>1.0219063008535256E-2</v>
      </c>
      <c r="E163" s="3">
        <f>'Historical Prices'!E161/'Historical Prices'!E160-1</f>
        <v>1.5583986640011149E-2</v>
      </c>
      <c r="F163" s="3">
        <f>'Historical Prices'!F161/'Historical Prices'!F160-1</f>
        <v>2.7263231671496246E-2</v>
      </c>
      <c r="G163" s="9">
        <f t="shared" si="4"/>
        <v>1.0432977343997904E-2</v>
      </c>
      <c r="H163" s="6">
        <f t="shared" si="5"/>
        <v>10432.977343997904</v>
      </c>
    </row>
    <row r="164" spans="1:8" x14ac:dyDescent="0.25">
      <c r="A164" s="2">
        <f>'Historical Prices'!A162</f>
        <v>45345</v>
      </c>
      <c r="B164" s="3">
        <f>'Historical Prices'!C162/'Historical Prices'!C161-1</f>
        <v>7.3955171042539014E-4</v>
      </c>
      <c r="C164" s="3">
        <f>'Historical Prices'!B162/'Historical Prices'!B161-1</f>
        <v>-3.7242476229533139E-3</v>
      </c>
      <c r="D164" s="3">
        <f>'Historical Prices'!D162/'Historical Prices'!D161-1</f>
        <v>-1.3173390857175171E-3</v>
      </c>
      <c r="E164" s="3">
        <f>'Historical Prices'!E162/'Historical Prices'!E161-1</f>
        <v>-2.6764387828048797E-3</v>
      </c>
      <c r="F164" s="3">
        <f>'Historical Prices'!F162/'Historical Prices'!F161-1</f>
        <v>1.0259807911764396E-2</v>
      </c>
      <c r="G164" s="9">
        <f t="shared" si="4"/>
        <v>6.5613845929340876E-4</v>
      </c>
      <c r="H164" s="6">
        <f t="shared" si="5"/>
        <v>656.1384592934088</v>
      </c>
    </row>
    <row r="165" spans="1:8" x14ac:dyDescent="0.25">
      <c r="A165" s="2">
        <f>'Historical Prices'!A163</f>
        <v>45348</v>
      </c>
      <c r="B165" s="3">
        <f>'Historical Prices'!C163/'Historical Prices'!C162-1</f>
        <v>1.1966768727453836E-3</v>
      </c>
      <c r="C165" s="3">
        <f>'Historical Prices'!B163/'Historical Prices'!B162-1</f>
        <v>-1.0576251762987487E-2</v>
      </c>
      <c r="D165" s="3">
        <f>'Historical Prices'!D163/'Historical Prices'!D162-1</f>
        <v>-6.6899319630375764E-3</v>
      </c>
      <c r="E165" s="3">
        <f>'Historical Prices'!E163/'Historical Prices'!E162-1</f>
        <v>-9.9591484771249794E-3</v>
      </c>
      <c r="F165" s="3">
        <f>'Historical Prices'!F163/'Historical Prices'!F162-1</f>
        <v>-7.7620372258446757E-5</v>
      </c>
      <c r="G165" s="9">
        <f t="shared" si="4"/>
        <v>-5.0716582396941714E-3</v>
      </c>
      <c r="H165" s="6">
        <f t="shared" si="5"/>
        <v>-5071.6582396941712</v>
      </c>
    </row>
    <row r="166" spans="1:8" x14ac:dyDescent="0.25">
      <c r="A166" s="2">
        <f>'Historical Prices'!A164</f>
        <v>45349</v>
      </c>
      <c r="B166" s="3">
        <f>'Historical Prices'!C164/'Historical Prices'!C163-1</f>
        <v>-1.5116485224028198E-3</v>
      </c>
      <c r="C166" s="3">
        <f>'Historical Prices'!B164/'Historical Prices'!B163-1</f>
        <v>-5.6671355076821639E-3</v>
      </c>
      <c r="D166" s="3">
        <f>'Historical Prices'!D164/'Historical Prices'!D163-1</f>
        <v>5.6913958850435264E-3</v>
      </c>
      <c r="E166" s="3">
        <f>'Historical Prices'!E164/'Historical Prices'!E163-1</f>
        <v>2.0781235625384475E-3</v>
      </c>
      <c r="F166" s="3">
        <f>'Historical Prices'!F164/'Historical Prices'!F163-1</f>
        <v>1.0778256560436628E-2</v>
      </c>
      <c r="G166" s="9">
        <f t="shared" si="4"/>
        <v>2.398676508377647E-3</v>
      </c>
      <c r="H166" s="6">
        <f t="shared" si="5"/>
        <v>2398.6765083776472</v>
      </c>
    </row>
    <row r="167" spans="1:8" x14ac:dyDescent="0.25">
      <c r="A167" s="2">
        <f>'Historical Prices'!A165</f>
        <v>45350</v>
      </c>
      <c r="B167" s="3">
        <f>'Historical Prices'!C165/'Historical Prices'!C164-1</f>
        <v>-7.569505779666863E-3</v>
      </c>
      <c r="C167" s="3">
        <f>'Historical Prices'!B165/'Historical Prices'!B164-1</f>
        <v>-4.4947971393513031E-3</v>
      </c>
      <c r="D167" s="3">
        <f>'Historical Prices'!D165/'Historical Prices'!D164-1</f>
        <v>-1.3205045520498948E-2</v>
      </c>
      <c r="E167" s="3">
        <f>'Historical Prices'!E165/'Historical Prices'!E164-1</f>
        <v>4.5984604171069865E-3</v>
      </c>
      <c r="F167" s="3">
        <f>'Historical Prices'!F165/'Historical Prices'!F164-1</f>
        <v>-2.5094855312899456E-2</v>
      </c>
      <c r="G167" s="9">
        <f t="shared" si="4"/>
        <v>-9.429028160490318E-3</v>
      </c>
      <c r="H167" s="6">
        <f t="shared" si="5"/>
        <v>-9429.0281604903175</v>
      </c>
    </row>
    <row r="168" spans="1:8" x14ac:dyDescent="0.25">
      <c r="A168" s="2">
        <f>'Historical Prices'!A166</f>
        <v>45351</v>
      </c>
      <c r="B168" s="3">
        <f>'Historical Prices'!C166/'Historical Prices'!C165-1</f>
        <v>-4.257154760713755E-3</v>
      </c>
      <c r="C168" s="3">
        <f>'Historical Prices'!B166/'Historical Prices'!B165-1</f>
        <v>8.378156375017376E-4</v>
      </c>
      <c r="D168" s="3">
        <f>'Historical Prices'!D166/'Historical Prices'!D165-1</f>
        <v>5.7351562350509422E-3</v>
      </c>
      <c r="E168" s="3">
        <f>'Historical Prices'!E166/'Historical Prices'!E165-1</f>
        <v>1.5856713518185295E-3</v>
      </c>
      <c r="F168" s="3">
        <f>'Historical Prices'!F166/'Historical Prices'!F165-1</f>
        <v>1.6170186699916211E-2</v>
      </c>
      <c r="G168" s="9">
        <f t="shared" si="4"/>
        <v>3.9787691405971642E-3</v>
      </c>
      <c r="H168" s="6">
        <f t="shared" si="5"/>
        <v>3978.7691405971641</v>
      </c>
    </row>
    <row r="169" spans="1:8" x14ac:dyDescent="0.25">
      <c r="A169" s="2">
        <f>'Historical Prices'!A167</f>
        <v>45352</v>
      </c>
      <c r="B169" s="3">
        <f>'Historical Prices'!C167/'Historical Prices'!C166-1</f>
        <v>1.9488318100628454E-2</v>
      </c>
      <c r="C169" s="3">
        <f>'Historical Prices'!B167/'Historical Prices'!B166-1</f>
        <v>2.2463003076665711E-2</v>
      </c>
      <c r="D169" s="3">
        <f>'Historical Prices'!D167/'Historical Prices'!D166-1</f>
        <v>3.2978521510119929E-2</v>
      </c>
      <c r="E169" s="3">
        <f>'Historical Prices'!E167/'Historical Prices'!E166-1</f>
        <v>-1.1470359769890082E-2</v>
      </c>
      <c r="F169" s="3">
        <f>'Historical Prices'!F167/'Historical Prices'!F166-1</f>
        <v>2.0984208660589365E-2</v>
      </c>
      <c r="G169" s="9">
        <f t="shared" si="4"/>
        <v>1.7698765733802239E-2</v>
      </c>
      <c r="H169" s="6">
        <f t="shared" si="5"/>
        <v>17698.76573380224</v>
      </c>
    </row>
    <row r="170" spans="1:8" x14ac:dyDescent="0.25">
      <c r="A170" s="2">
        <f>'Historical Prices'!A168</f>
        <v>45355</v>
      </c>
      <c r="B170" s="3">
        <f>'Historical Prices'!C168/'Historical Prices'!C167-1</f>
        <v>1.3628291317000496E-3</v>
      </c>
      <c r="C170" s="3">
        <f>'Historical Prices'!B168/'Historical Prices'!B167-1</f>
        <v>6.8229539514605975E-3</v>
      </c>
      <c r="D170" s="3">
        <f>'Historical Prices'!D168/'Historical Prices'!D167-1</f>
        <v>5.0141267651548915E-3</v>
      </c>
      <c r="E170" s="3">
        <f>'Historical Prices'!E168/'Historical Prices'!E167-1</f>
        <v>-1.057582112291966E-2</v>
      </c>
      <c r="F170" s="3">
        <f>'Historical Prices'!F168/'Historical Prices'!F167-1</f>
        <v>-2.6305723681023241E-2</v>
      </c>
      <c r="G170" s="9">
        <f t="shared" si="4"/>
        <v>-4.3373766362133619E-3</v>
      </c>
      <c r="H170" s="6">
        <f t="shared" si="5"/>
        <v>-4337.376636213362</v>
      </c>
    </row>
    <row r="171" spans="1:8" x14ac:dyDescent="0.25">
      <c r="A171" s="2">
        <f>'Historical Prices'!A169</f>
        <v>45356</v>
      </c>
      <c r="B171" s="3">
        <f>'Historical Prices'!C169/'Historical Prices'!C168-1</f>
        <v>5.6885969657969326E-3</v>
      </c>
      <c r="C171" s="3">
        <f>'Historical Prices'!B169/'Historical Prices'!B168-1</f>
        <v>-5.3760213196694107E-3</v>
      </c>
      <c r="D171" s="3">
        <f>'Historical Prices'!D169/'Historical Prices'!D168-1</f>
        <v>-3.9363783578103551E-3</v>
      </c>
      <c r="E171" s="3">
        <f>'Historical Prices'!E169/'Historical Prices'!E168-1</f>
        <v>-1.8751529670861022E-2</v>
      </c>
      <c r="F171" s="3">
        <f>'Historical Prices'!F169/'Historical Prices'!F168-1</f>
        <v>9.4739800842011945E-3</v>
      </c>
      <c r="G171" s="9">
        <f t="shared" si="4"/>
        <v>-2.3164080620408397E-3</v>
      </c>
      <c r="H171" s="6">
        <f t="shared" si="5"/>
        <v>-2316.4080620408399</v>
      </c>
    </row>
    <row r="172" spans="1:8" x14ac:dyDescent="0.25">
      <c r="A172" s="2">
        <f>'Historical Prices'!A170</f>
        <v>45357</v>
      </c>
      <c r="B172" s="3">
        <f>'Historical Prices'!C170/'Historical Prices'!C169-1</f>
        <v>1.2146305649112232E-3</v>
      </c>
      <c r="C172" s="3">
        <f>'Historical Prices'!B170/'Historical Prices'!B169-1</f>
        <v>2.1983915818379884E-2</v>
      </c>
      <c r="D172" s="3">
        <f>'Historical Prices'!D170/'Historical Prices'!D169-1</f>
        <v>8.3176110338172293E-3</v>
      </c>
      <c r="E172" s="3">
        <f>'Historical Prices'!E170/'Historical Prices'!E169-1</f>
        <v>6.8783423903946428E-3</v>
      </c>
      <c r="F172" s="3">
        <f>'Historical Prices'!F170/'Historical Prices'!F169-1</f>
        <v>1.6191814592094067E-2</v>
      </c>
      <c r="G172" s="9">
        <f t="shared" si="4"/>
        <v>1.0594178630240807E-2</v>
      </c>
      <c r="H172" s="6">
        <f t="shared" si="5"/>
        <v>10594.178630240807</v>
      </c>
    </row>
    <row r="173" spans="1:8" x14ac:dyDescent="0.25">
      <c r="A173" s="2">
        <f>'Historical Prices'!A171</f>
        <v>45358</v>
      </c>
      <c r="B173" s="3">
        <f>'Historical Prices'!C171/'Historical Prices'!C170-1</f>
        <v>2.4261373126204244E-3</v>
      </c>
      <c r="C173" s="3">
        <f>'Historical Prices'!B171/'Historical Prices'!B170-1</f>
        <v>-1.204456544686705E-2</v>
      </c>
      <c r="D173" s="3">
        <f>'Historical Prices'!D171/'Historical Prices'!D170-1</f>
        <v>-8.3401198757522277E-3</v>
      </c>
      <c r="E173" s="3">
        <f>'Historical Prices'!E171/'Historical Prices'!E170-1</f>
        <v>-6.8010542985397215E-4</v>
      </c>
      <c r="F173" s="3">
        <f>'Historical Prices'!F171/'Historical Prices'!F170-1</f>
        <v>-3.7094330122281916E-2</v>
      </c>
      <c r="G173" s="9">
        <f t="shared" si="4"/>
        <v>-1.0893940108491328E-2</v>
      </c>
      <c r="H173" s="6">
        <f t="shared" si="5"/>
        <v>-10893.940108491328</v>
      </c>
    </row>
    <row r="174" spans="1:8" x14ac:dyDescent="0.25">
      <c r="A174" s="2">
        <f>'Historical Prices'!A172</f>
        <v>45362</v>
      </c>
      <c r="B174" s="3">
        <f>'Historical Prices'!C172/'Historical Prices'!C171-1</f>
        <v>-1.2654689288487453E-2</v>
      </c>
      <c r="C174" s="3">
        <f>'Historical Prices'!B172/'Historical Prices'!B171-1</f>
        <v>-5.7130734293924235E-3</v>
      </c>
      <c r="D174" s="3">
        <f>'Historical Prices'!D172/'Historical Prices'!D171-1</f>
        <v>-8.5022646331740503E-3</v>
      </c>
      <c r="E174" s="3">
        <f>'Historical Prices'!E172/'Historical Prices'!E171-1</f>
        <v>-9.8054279438798408E-3</v>
      </c>
      <c r="F174" s="3">
        <f>'Historical Prices'!F172/'Historical Prices'!F171-1</f>
        <v>-1.6863753702065498E-3</v>
      </c>
      <c r="G174" s="9">
        <f t="shared" si="4"/>
        <v>-7.7873702663989993E-3</v>
      </c>
      <c r="H174" s="6">
        <f t="shared" si="5"/>
        <v>-7787.3702663989989</v>
      </c>
    </row>
    <row r="175" spans="1:8" x14ac:dyDescent="0.25">
      <c r="A175" s="2">
        <f>'Historical Prices'!A173</f>
        <v>45363</v>
      </c>
      <c r="B175" s="3">
        <f>'Historical Prices'!C173/'Historical Prices'!C172-1</f>
        <v>2.2237109343644867E-2</v>
      </c>
      <c r="C175" s="3">
        <f>'Historical Prices'!B173/'Historical Prices'!B172-1</f>
        <v>-7.3297237421503514E-3</v>
      </c>
      <c r="D175" s="3">
        <f>'Historical Prices'!D173/'Historical Prices'!D172-1</f>
        <v>-1.7150114069244271E-3</v>
      </c>
      <c r="E175" s="3">
        <f>'Historical Prices'!E173/'Historical Prices'!E172-1</f>
        <v>7.7157212869478631E-3</v>
      </c>
      <c r="F175" s="3">
        <f>'Historical Prices'!F173/'Historical Prices'!F172-1</f>
        <v>4.2230600900405868E-4</v>
      </c>
      <c r="G175" s="9">
        <f t="shared" si="4"/>
        <v>4.4429562132129712E-3</v>
      </c>
      <c r="H175" s="6">
        <f t="shared" si="5"/>
        <v>4442.9562132129713</v>
      </c>
    </row>
    <row r="176" spans="1:8" x14ac:dyDescent="0.25">
      <c r="A176" s="2">
        <f>'Historical Prices'!A174</f>
        <v>45364</v>
      </c>
      <c r="B176" s="3">
        <f>'Historical Prices'!C174/'Historical Prices'!C173-1</f>
        <v>5.8223990118166924E-4</v>
      </c>
      <c r="C176" s="3">
        <f>'Historical Prices'!B174/'Historical Prices'!B173-1</f>
        <v>-1.5132214745337214E-2</v>
      </c>
      <c r="D176" s="3">
        <f>'Historical Prices'!D174/'Historical Prices'!D173-1</f>
        <v>6.5932117548455071E-3</v>
      </c>
      <c r="E176" s="3">
        <f>'Historical Prices'!E174/'Historical Prices'!E173-1</f>
        <v>-9.6085832735259835E-4</v>
      </c>
      <c r="F176" s="3">
        <f>'Historical Prices'!F174/'Historical Prices'!F173-1</f>
        <v>-2.1871662988332874E-2</v>
      </c>
      <c r="G176" s="9">
        <f t="shared" si="4"/>
        <v>-5.5590689211882987E-3</v>
      </c>
      <c r="H176" s="6">
        <f t="shared" si="5"/>
        <v>-5559.0689211882991</v>
      </c>
    </row>
    <row r="177" spans="1:8" x14ac:dyDescent="0.25">
      <c r="A177" s="2">
        <f>'Historical Prices'!A175</f>
        <v>45365</v>
      </c>
      <c r="B177" s="3">
        <f>'Historical Prices'!C175/'Historical Prices'!C174-1</f>
        <v>-3.3895345969706669E-3</v>
      </c>
      <c r="C177" s="3">
        <f>'Historical Prices'!B175/'Historical Prices'!B174-1</f>
        <v>-2.0501616748495044E-2</v>
      </c>
      <c r="D177" s="3">
        <f>'Historical Prices'!D175/'Historical Prices'!D174-1</f>
        <v>-3.2284959029682536E-4</v>
      </c>
      <c r="E177" s="3">
        <f>'Historical Prices'!E175/'Historical Prices'!E174-1</f>
        <v>2.6002323238974334E-2</v>
      </c>
      <c r="F177" s="3">
        <f>'Historical Prices'!F175/'Historical Prices'!F174-1</f>
        <v>1.9879236966607428E-2</v>
      </c>
      <c r="G177" s="9">
        <f t="shared" si="4"/>
        <v>4.0624134200913601E-3</v>
      </c>
      <c r="H177" s="6">
        <f t="shared" si="5"/>
        <v>4062.41342009136</v>
      </c>
    </row>
    <row r="178" spans="1:8" x14ac:dyDescent="0.25">
      <c r="A178" s="2">
        <f>'Historical Prices'!A176</f>
        <v>45366</v>
      </c>
      <c r="B178" s="3">
        <f>'Historical Prices'!C176/'Historical Prices'!C175-1</f>
        <v>-1.92375642544107E-3</v>
      </c>
      <c r="C178" s="3">
        <f>'Historical Prices'!B176/'Historical Prices'!B175-1</f>
        <v>-1.1197636750800655E-2</v>
      </c>
      <c r="D178" s="3">
        <f>'Historical Prices'!D176/'Historical Prices'!D175-1</f>
        <v>-2.9993025951773333E-3</v>
      </c>
      <c r="E178" s="3">
        <f>'Historical Prices'!E176/'Historical Prices'!E175-1</f>
        <v>-1.1673690147019355E-2</v>
      </c>
      <c r="F178" s="3">
        <f>'Historical Prices'!F176/'Historical Prices'!F175-1</f>
        <v>-4.8160611473637815E-2</v>
      </c>
      <c r="G178" s="9">
        <f t="shared" si="4"/>
        <v>-1.4596345078591654E-2</v>
      </c>
      <c r="H178" s="6">
        <f t="shared" si="5"/>
        <v>-14596.345078591654</v>
      </c>
    </row>
    <row r="179" spans="1:8" x14ac:dyDescent="0.25">
      <c r="A179" s="2">
        <f>'Historical Prices'!A177</f>
        <v>45369</v>
      </c>
      <c r="B179" s="3">
        <f>'Historical Prices'!C177/'Historical Prices'!C176-1</f>
        <v>-4.543315205414955E-3</v>
      </c>
      <c r="C179" s="3">
        <f>'Historical Prices'!B177/'Historical Prices'!B176-1</f>
        <v>1.4286933774888544E-2</v>
      </c>
      <c r="D179" s="3">
        <f>'Historical Prices'!D177/'Historical Prices'!D176-1</f>
        <v>7.8682488710679621E-4</v>
      </c>
      <c r="E179" s="3">
        <f>'Historical Prices'!E177/'Historical Prices'!E176-1</f>
        <v>-1.9186046935814494E-2</v>
      </c>
      <c r="F179" s="3">
        <f>'Historical Prices'!F177/'Historical Prices'!F176-1</f>
        <v>3.1425419130064913E-2</v>
      </c>
      <c r="G179" s="9">
        <f t="shared" si="4"/>
        <v>4.3850502334807102E-3</v>
      </c>
      <c r="H179" s="6">
        <f t="shared" si="5"/>
        <v>4385.0502334807097</v>
      </c>
    </row>
    <row r="180" spans="1:8" x14ac:dyDescent="0.25">
      <c r="A180" s="2">
        <f>'Historical Prices'!A178</f>
        <v>45370</v>
      </c>
      <c r="B180" s="3">
        <f>'Historical Prices'!C178/'Historical Prices'!C177-1</f>
        <v>2.2819374039990681E-3</v>
      </c>
      <c r="C180" s="3">
        <f>'Historical Prices'!B178/'Historical Prices'!B177-1</f>
        <v>-9.9400883076624647E-3</v>
      </c>
      <c r="D180" s="3">
        <f>'Historical Prices'!D178/'Historical Prices'!D177-1</f>
        <v>2.5434247626969775E-3</v>
      </c>
      <c r="E180" s="3">
        <f>'Historical Prices'!E178/'Historical Prices'!E177-1</f>
        <v>-2.5707387069703547E-2</v>
      </c>
      <c r="F180" s="3">
        <f>'Historical Prices'!F178/'Historical Prices'!F177-1</f>
        <v>-6.546218955246319E-3</v>
      </c>
      <c r="G180" s="9">
        <f t="shared" si="4"/>
        <v>-6.7694584071404064E-3</v>
      </c>
      <c r="H180" s="6">
        <f t="shared" si="5"/>
        <v>-6769.4584071404061</v>
      </c>
    </row>
    <row r="181" spans="1:8" x14ac:dyDescent="0.25">
      <c r="A181" s="2">
        <f>'Historical Prices'!A179</f>
        <v>45371</v>
      </c>
      <c r="B181" s="3">
        <f>'Historical Prices'!C179/'Historical Prices'!C178-1</f>
        <v>-1.2626313047453985E-2</v>
      </c>
      <c r="C181" s="3">
        <f>'Historical Prices'!B179/'Historical Prices'!B178-1</f>
        <v>-1.5274092208859114E-2</v>
      </c>
      <c r="D181" s="3">
        <f>'Historical Prices'!D179/'Historical Prices'!D178-1</f>
        <v>5.0741751839367133E-4</v>
      </c>
      <c r="E181" s="3">
        <f>'Historical Prices'!E179/'Historical Prices'!E178-1</f>
        <v>-4.1630234308667191E-3</v>
      </c>
      <c r="F181" s="3">
        <f>'Historical Prices'!F179/'Historical Prices'!F178-1</f>
        <v>2.7117131675891137E-4</v>
      </c>
      <c r="G181" s="9">
        <f t="shared" si="4"/>
        <v>-6.0706343607561993E-3</v>
      </c>
      <c r="H181" s="6">
        <f t="shared" si="5"/>
        <v>-6070.6343607561994</v>
      </c>
    </row>
    <row r="182" spans="1:8" x14ac:dyDescent="0.25">
      <c r="A182" s="2">
        <f>'Historical Prices'!A180</f>
        <v>45372</v>
      </c>
      <c r="B182" s="3">
        <f>'Historical Prices'!C180/'Historical Prices'!C179-1</f>
        <v>1.0272125630159668E-2</v>
      </c>
      <c r="C182" s="3">
        <f>'Historical Prices'!B180/'Historical Prices'!B179-1</f>
        <v>8.2139156218330456E-4</v>
      </c>
      <c r="D182" s="3">
        <f>'Historical Prices'!D180/'Historical Prices'!D179-1</f>
        <v>-2.4895380908321885E-3</v>
      </c>
      <c r="E182" s="3">
        <f>'Historical Prices'!E180/'Historical Prices'!E179-1</f>
        <v>-1.6066441123141484E-4</v>
      </c>
      <c r="F182" s="3">
        <f>'Historical Prices'!F180/'Historical Prices'!F179-1</f>
        <v>1.1629769771277498E-2</v>
      </c>
      <c r="G182" s="9">
        <f t="shared" si="4"/>
        <v>3.960817806142893E-3</v>
      </c>
      <c r="H182" s="6">
        <f t="shared" si="5"/>
        <v>3960.817806142893</v>
      </c>
    </row>
    <row r="183" spans="1:8" x14ac:dyDescent="0.25">
      <c r="A183" s="2">
        <f>'Historical Prices'!A181</f>
        <v>45373</v>
      </c>
      <c r="B183" s="3">
        <f>'Historical Prices'!C181/'Historical Prices'!C180-1</f>
        <v>-2.0058836195988583E-3</v>
      </c>
      <c r="C183" s="3">
        <f>'Historical Prices'!B181/'Historical Prices'!B180-1</f>
        <v>-2.2208760219237789E-3</v>
      </c>
      <c r="D183" s="3">
        <f>'Historical Prices'!D181/'Historical Prices'!D180-1</f>
        <v>7.8573548389637704E-3</v>
      </c>
      <c r="E183" s="3">
        <f>'Historical Prices'!E181/'Historical Prices'!E180-1</f>
        <v>-2.9491257804041382E-2</v>
      </c>
      <c r="F183" s="3">
        <f>'Historical Prices'!F181/'Historical Prices'!F180-1</f>
        <v>6.9405933515547247E-3</v>
      </c>
      <c r="G183" s="9">
        <f t="shared" si="4"/>
        <v>-3.1325591023542024E-3</v>
      </c>
      <c r="H183" s="6">
        <f t="shared" si="5"/>
        <v>-3132.5591023542024</v>
      </c>
    </row>
    <row r="184" spans="1:8" x14ac:dyDescent="0.25">
      <c r="A184" s="2">
        <f>'Historical Prices'!A182</f>
        <v>45377</v>
      </c>
      <c r="B184" s="3">
        <f>'Historical Prices'!C182/'Historical Prices'!C181-1</f>
        <v>-1.2093950374142182E-2</v>
      </c>
      <c r="C184" s="3">
        <f>'Historical Prices'!B182/'Historical Prices'!B181-1</f>
        <v>7.0163754505718767E-3</v>
      </c>
      <c r="D184" s="3">
        <f>'Historical Prices'!D182/'Historical Prices'!D181-1</f>
        <v>-6.0535462050523847E-3</v>
      </c>
      <c r="E184" s="3">
        <f>'Historical Prices'!E182/'Historical Prices'!E181-1</f>
        <v>-1.0736622480747471E-2</v>
      </c>
      <c r="F184" s="3">
        <f>'Historical Prices'!F182/'Historical Prices'!F181-1</f>
        <v>-7.9040231851347231E-3</v>
      </c>
      <c r="G184" s="9">
        <f t="shared" si="4"/>
        <v>-6.137374631731805E-3</v>
      </c>
      <c r="H184" s="6">
        <f t="shared" si="5"/>
        <v>-6137.3746317318046</v>
      </c>
    </row>
    <row r="185" spans="1:8" x14ac:dyDescent="0.25">
      <c r="A185" s="2">
        <f>'Historical Prices'!A183</f>
        <v>45378</v>
      </c>
      <c r="B185" s="3">
        <f>'Historical Prices'!C183/'Historical Prices'!C182-1</f>
        <v>1.0733733225579245E-2</v>
      </c>
      <c r="C185" s="3">
        <f>'Historical Prices'!B183/'Historical Prices'!B182-1</f>
        <v>1.1820624261137391E-2</v>
      </c>
      <c r="D185" s="3">
        <f>'Historical Prices'!D183/'Historical Prices'!D182-1</f>
        <v>4.6296943050583295E-5</v>
      </c>
      <c r="E185" s="3">
        <f>'Historical Prices'!E183/'Historical Prices'!E182-1</f>
        <v>-5.8955835482040753E-3</v>
      </c>
      <c r="F185" s="3">
        <f>'Historical Prices'!F183/'Historical Prices'!F182-1</f>
        <v>9.227763309302528E-3</v>
      </c>
      <c r="G185" s="9">
        <f t="shared" si="4"/>
        <v>5.1425435588550207E-3</v>
      </c>
      <c r="H185" s="6">
        <f t="shared" si="5"/>
        <v>5142.5435588550208</v>
      </c>
    </row>
    <row r="186" spans="1:8" x14ac:dyDescent="0.25">
      <c r="A186" s="2">
        <f>'Historical Prices'!A184</f>
        <v>45379</v>
      </c>
      <c r="B186" s="3">
        <f>'Historical Prices'!C184/'Historical Prices'!C183-1</f>
        <v>4.9975108454753947E-3</v>
      </c>
      <c r="C186" s="3">
        <f>'Historical Prices'!B184/'Historical Prices'!B183-1</f>
        <v>-5.366385950467345E-3</v>
      </c>
      <c r="D186" s="3">
        <f>'Historical Prices'!D184/'Historical Prices'!D183-1</f>
        <v>8.8119438274369966E-3</v>
      </c>
      <c r="E186" s="3">
        <f>'Historical Prices'!E184/'Historical Prices'!E183-1</f>
        <v>9.5698081083910314E-3</v>
      </c>
      <c r="F186" s="3">
        <f>'Historical Prices'!F184/'Historical Prices'!F183-1</f>
        <v>2.1369866589145525E-2</v>
      </c>
      <c r="G186" s="9">
        <f t="shared" si="4"/>
        <v>7.9601730708979863E-3</v>
      </c>
      <c r="H186" s="6">
        <f t="shared" si="5"/>
        <v>7960.1730708979867</v>
      </c>
    </row>
    <row r="187" spans="1:8" x14ac:dyDescent="0.25">
      <c r="A187" s="2">
        <f>'Historical Prices'!A185</f>
        <v>45383</v>
      </c>
      <c r="B187" s="3">
        <f>'Historical Prices'!C185/'Historical Prices'!C184-1</f>
        <v>1.5608800631617736E-2</v>
      </c>
      <c r="C187" s="3">
        <f>'Historical Prices'!B185/'Historical Prices'!B184-1</f>
        <v>5.6340598824948795E-3</v>
      </c>
      <c r="D187" s="3">
        <f>'Historical Prices'!D185/'Historical Prices'!D184-1</f>
        <v>5.8081702793062462E-3</v>
      </c>
      <c r="E187" s="3">
        <f>'Historical Prices'!E185/'Historical Prices'!E184-1</f>
        <v>-1.7356662300314074E-3</v>
      </c>
      <c r="F187" s="3">
        <f>'Historical Prices'!F185/'Historical Prices'!F184-1</f>
        <v>-2.8105566314158281E-3</v>
      </c>
      <c r="G187" s="9">
        <f t="shared" si="4"/>
        <v>4.786470730099762E-3</v>
      </c>
      <c r="H187" s="6">
        <f t="shared" si="5"/>
        <v>4786.4707300997625</v>
      </c>
    </row>
    <row r="188" spans="1:8" x14ac:dyDescent="0.25">
      <c r="A188" s="2">
        <f>'Historical Prices'!A186</f>
        <v>45384</v>
      </c>
      <c r="B188" s="3">
        <f>'Historical Prices'!C186/'Historical Prices'!C185-1</f>
        <v>6.5625005418394888E-3</v>
      </c>
      <c r="C188" s="3">
        <f>'Historical Prices'!B186/'Historical Prices'!B185-1</f>
        <v>-5.6024950896682579E-3</v>
      </c>
      <c r="D188" s="3">
        <f>'Historical Prices'!D186/'Historical Prices'!D185-1</f>
        <v>-1.6778206206626289E-2</v>
      </c>
      <c r="E188" s="3">
        <f>'Historical Prices'!E186/'Historical Prices'!E185-1</f>
        <v>-8.4255622422563237E-3</v>
      </c>
      <c r="F188" s="3">
        <f>'Historical Prices'!F186/'Historical Prices'!F185-1</f>
        <v>2.9228284306928476E-2</v>
      </c>
      <c r="G188" s="9">
        <f t="shared" si="4"/>
        <v>6.1140089836732043E-4</v>
      </c>
      <c r="H188" s="6">
        <f t="shared" si="5"/>
        <v>611.40089836732045</v>
      </c>
    </row>
    <row r="189" spans="1:8" x14ac:dyDescent="0.25">
      <c r="A189" s="2">
        <f>'Historical Prices'!A187</f>
        <v>45385</v>
      </c>
      <c r="B189" s="3">
        <f>'Historical Prices'!C187/'Historical Prices'!C186-1</f>
        <v>1.4524812374203666E-3</v>
      </c>
      <c r="C189" s="3">
        <f>'Historical Prices'!B187/'Historical Prices'!B186-1</f>
        <v>1.5326601252820371E-2</v>
      </c>
      <c r="D189" s="3">
        <f>'Historical Prices'!D187/'Historical Prices'!D186-1</f>
        <v>-3.699590047929191E-3</v>
      </c>
      <c r="E189" s="3">
        <f>'Historical Prices'!E187/'Historical Prices'!E186-1</f>
        <v>-1.4835027208124352E-3</v>
      </c>
      <c r="F189" s="3">
        <f>'Historical Prices'!F187/'Historical Prices'!F186-1</f>
        <v>8.7984707480384117E-3</v>
      </c>
      <c r="G189" s="9">
        <f t="shared" si="4"/>
        <v>3.710014334043347E-3</v>
      </c>
      <c r="H189" s="6">
        <f t="shared" si="5"/>
        <v>3710.0143340433469</v>
      </c>
    </row>
    <row r="190" spans="1:8" x14ac:dyDescent="0.25">
      <c r="A190" s="2">
        <f>'Historical Prices'!A188</f>
        <v>45386</v>
      </c>
      <c r="B190" s="3">
        <f>'Historical Prices'!C188/'Historical Prices'!C187-1</f>
        <v>3.0560641508664776E-2</v>
      </c>
      <c r="C190" s="3">
        <f>'Historical Prices'!B188/'Historical Prices'!B187-1</f>
        <v>-2.8218633182397479E-4</v>
      </c>
      <c r="D190" s="3">
        <f>'Historical Prices'!D188/'Historical Prices'!D187-1</f>
        <v>1.5317912898360486E-3</v>
      </c>
      <c r="E190" s="3">
        <f>'Historical Prices'!E188/'Historical Prices'!E187-1</f>
        <v>4.0859396422119332E-3</v>
      </c>
      <c r="F190" s="3">
        <f>'Historical Prices'!F188/'Historical Prices'!F187-1</f>
        <v>6.7360463765491208E-3</v>
      </c>
      <c r="G190" s="9">
        <f t="shared" si="4"/>
        <v>8.7838053468940313E-3</v>
      </c>
      <c r="H190" s="6">
        <f t="shared" si="5"/>
        <v>8783.8053468940307</v>
      </c>
    </row>
    <row r="191" spans="1:8" x14ac:dyDescent="0.25">
      <c r="A191" s="2">
        <f>'Historical Prices'!A189</f>
        <v>45387</v>
      </c>
      <c r="B191" s="3">
        <f>'Historical Prices'!C189/'Historical Prices'!C188-1</f>
        <v>1.4368989241138053E-2</v>
      </c>
      <c r="C191" s="3">
        <f>'Historical Prices'!B189/'Historical Prices'!B188-1</f>
        <v>-3.6220297318634298E-3</v>
      </c>
      <c r="D191" s="3">
        <f>'Historical Prices'!D189/'Historical Prices'!D188-1</f>
        <v>4.2175806323672127E-3</v>
      </c>
      <c r="E191" s="3">
        <f>'Historical Prices'!E189/'Historical Prices'!E188-1</f>
        <v>-5.1120339551316007E-3</v>
      </c>
      <c r="F191" s="3">
        <f>'Historical Prices'!F189/'Historical Prices'!F188-1</f>
        <v>5.2928398686409306E-3</v>
      </c>
      <c r="G191" s="9">
        <f t="shared" si="4"/>
        <v>3.3994734904567161E-3</v>
      </c>
      <c r="H191" s="6">
        <f t="shared" si="5"/>
        <v>3399.4734904567163</v>
      </c>
    </row>
    <row r="192" spans="1:8" x14ac:dyDescent="0.25">
      <c r="A192" s="2">
        <f>'Historical Prices'!A190</f>
        <v>45390</v>
      </c>
      <c r="B192" s="3">
        <f>'Historical Prices'!C190/'Historical Prices'!C189-1</f>
        <v>-1.9037653994998793E-3</v>
      </c>
      <c r="C192" s="3">
        <f>'Historical Prices'!B190/'Historical Prices'!B189-1</f>
        <v>1.6004269253173664E-2</v>
      </c>
      <c r="D192" s="3">
        <f>'Historical Prices'!D190/'Historical Prices'!D189-1</f>
        <v>3.4612210091988782E-3</v>
      </c>
      <c r="E192" s="3">
        <f>'Historical Prices'!E190/'Historical Prices'!E189-1</f>
        <v>-1.6224941434564988E-3</v>
      </c>
      <c r="F192" s="3">
        <f>'Historical Prices'!F190/'Historical Prices'!F189-1</f>
        <v>3.2186027726154975E-2</v>
      </c>
      <c r="G192" s="9">
        <f t="shared" si="4"/>
        <v>9.2492216134267002E-3</v>
      </c>
      <c r="H192" s="6">
        <f t="shared" si="5"/>
        <v>9249.2216134267001</v>
      </c>
    </row>
    <row r="193" spans="1:8" x14ac:dyDescent="0.25">
      <c r="A193" s="2">
        <f>'Historical Prices'!A191</f>
        <v>45391</v>
      </c>
      <c r="B193" s="3">
        <f>'Historical Prices'!C191/'Historical Prices'!C190-1</f>
        <v>1.2608270930112297E-3</v>
      </c>
      <c r="C193" s="3">
        <f>'Historical Prices'!B191/'Historical Prices'!B190-1</f>
        <v>3.6707258814945298E-3</v>
      </c>
      <c r="D193" s="3">
        <f>'Historical Prices'!D191/'Historical Prices'!D190-1</f>
        <v>1.8304869551967418E-2</v>
      </c>
      <c r="E193" s="3">
        <f>'Historical Prices'!E191/'Historical Prices'!E190-1</f>
        <v>1.2290876635099313E-2</v>
      </c>
      <c r="F193" s="3">
        <f>'Historical Prices'!F191/'Historical Prices'!F190-1</f>
        <v>6.1593163622937208E-3</v>
      </c>
      <c r="G193" s="9">
        <f t="shared" si="4"/>
        <v>8.5691672930031139E-3</v>
      </c>
      <c r="H193" s="6">
        <f t="shared" si="5"/>
        <v>8569.1672930031145</v>
      </c>
    </row>
    <row r="194" spans="1:8" x14ac:dyDescent="0.25">
      <c r="A194" s="2">
        <f>'Historical Prices'!A192</f>
        <v>45392</v>
      </c>
      <c r="B194" s="3">
        <f>'Historical Prices'!C192/'Historical Prices'!C191-1</f>
        <v>-7.8783141372592569E-3</v>
      </c>
      <c r="C194" s="3">
        <f>'Historical Prices'!B192/'Historical Prices'!B191-1</f>
        <v>7.2222629470213295E-3</v>
      </c>
      <c r="D194" s="3">
        <f>'Historical Prices'!D192/'Historical Prices'!D191-1</f>
        <v>2.1227141718238585E-3</v>
      </c>
      <c r="E194" s="3">
        <f>'Historical Prices'!E192/'Historical Prices'!E191-1</f>
        <v>7.9941203596547439E-3</v>
      </c>
      <c r="F194" s="3">
        <f>'Historical Prices'!F192/'Historical Prices'!F191-1</f>
        <v>-7.0303583164448291E-3</v>
      </c>
      <c r="G194" s="9">
        <f t="shared" si="4"/>
        <v>2.7181750571587254E-4</v>
      </c>
      <c r="H194" s="6">
        <f t="shared" si="5"/>
        <v>271.81750571587253</v>
      </c>
    </row>
    <row r="195" spans="1:8" x14ac:dyDescent="0.25">
      <c r="A195" s="2">
        <f>'Historical Prices'!A193</f>
        <v>45394</v>
      </c>
      <c r="B195" s="3">
        <f>'Historical Prices'!C193/'Historical Prices'!C192-1</f>
        <v>-1.1325650134338061E-2</v>
      </c>
      <c r="C195" s="3">
        <f>'Historical Prices'!B193/'Historical Prices'!B192-1</f>
        <v>-1.3191785848386095E-2</v>
      </c>
      <c r="D195" s="3">
        <f>'Historical Prices'!D193/'Historical Prices'!D192-1</f>
        <v>-4.5068799786350811E-3</v>
      </c>
      <c r="E195" s="3">
        <f>'Historical Prices'!E193/'Historical Prices'!E192-1</f>
        <v>-1.4633690066634064E-2</v>
      </c>
      <c r="F195" s="3">
        <f>'Historical Prices'!F193/'Historical Prices'!F192-1</f>
        <v>-2.5286624476641428E-3</v>
      </c>
      <c r="G195" s="9">
        <f t="shared" si="4"/>
        <v>-9.0259653573040357E-3</v>
      </c>
      <c r="H195" s="6">
        <f t="shared" si="5"/>
        <v>-9025.9653573040359</v>
      </c>
    </row>
    <row r="196" spans="1:8" x14ac:dyDescent="0.25">
      <c r="A196" s="2">
        <f>'Historical Prices'!A194</f>
        <v>45397</v>
      </c>
      <c r="B196" s="3">
        <f>'Historical Prices'!C194/'Historical Prices'!C193-1</f>
        <v>-1.5964980778572668E-2</v>
      </c>
      <c r="C196" s="3">
        <f>'Historical Prices'!B194/'Historical Prices'!B193-1</f>
        <v>-1.44394192314935E-2</v>
      </c>
      <c r="D196" s="3">
        <f>'Historical Prices'!D194/'Historical Prices'!D193-1</f>
        <v>-2.3587600031993006E-2</v>
      </c>
      <c r="E196" s="3">
        <f>'Historical Prices'!E194/'Historical Prices'!E193-1</f>
        <v>-1.1180237377859004E-2</v>
      </c>
      <c r="F196" s="3">
        <f>'Historical Prices'!F194/'Historical Prices'!F193-1</f>
        <v>-8.4502627972037336E-3</v>
      </c>
      <c r="G196" s="9">
        <f t="shared" si="4"/>
        <v>-1.5090839560109185E-2</v>
      </c>
      <c r="H196" s="6">
        <f t="shared" si="5"/>
        <v>-15090.839560109185</v>
      </c>
    </row>
    <row r="197" spans="1:8" x14ac:dyDescent="0.25">
      <c r="A197" s="2">
        <f>'Historical Prices'!A195</f>
        <v>45398</v>
      </c>
      <c r="B197" s="3">
        <f>'Historical Prices'!C195/'Historical Prices'!C194-1</f>
        <v>9.7344832338956966E-3</v>
      </c>
      <c r="C197" s="3">
        <f>'Historical Prices'!B195/'Historical Prices'!B194-1</f>
        <v>-5.718611424037956E-3</v>
      </c>
      <c r="D197" s="3">
        <f>'Historical Prices'!D195/'Historical Prices'!D194-1</f>
        <v>-1.04790502534019E-2</v>
      </c>
      <c r="E197" s="3">
        <f>'Historical Prices'!E195/'Historical Prices'!E194-1</f>
        <v>-3.6576782434469157E-2</v>
      </c>
      <c r="F197" s="3">
        <f>'Historical Prices'!F195/'Historical Prices'!F194-1</f>
        <v>-1.0786659408057342E-2</v>
      </c>
      <c r="G197" s="9">
        <f t="shared" si="4"/>
        <v>-1.0213486727902312E-2</v>
      </c>
      <c r="H197" s="6">
        <f t="shared" si="5"/>
        <v>-10213.486727902313</v>
      </c>
    </row>
    <row r="198" spans="1:8" x14ac:dyDescent="0.25">
      <c r="A198" s="2">
        <f>'Historical Prices'!A196</f>
        <v>45400</v>
      </c>
      <c r="B198" s="3">
        <f>'Historical Prices'!C196/'Historical Prices'!C195-1</f>
        <v>-9.6406366183701131E-3</v>
      </c>
      <c r="C198" s="3">
        <f>'Historical Prices'!B196/'Historical Prices'!B195-1</f>
        <v>-2.6523412857990869E-2</v>
      </c>
      <c r="D198" s="3">
        <f>'Historical Prices'!D196/'Historical Prices'!D195-1</f>
        <v>-1.0871084437369061E-2</v>
      </c>
      <c r="E198" s="3">
        <f>'Historical Prices'!E196/'Historical Prices'!E195-1</f>
        <v>3.3936809432337789E-3</v>
      </c>
      <c r="F198" s="3">
        <f>'Historical Prices'!F196/'Historical Prices'!F195-1</f>
        <v>-3.1261320728825925E-3</v>
      </c>
      <c r="G198" s="9">
        <f t="shared" ref="G198:G261" si="6">SUMPRODUCT(B198:F198, $B$2:$F$2)</f>
        <v>-9.3730065791736341E-3</v>
      </c>
      <c r="H198" s="6">
        <f t="shared" ref="H198:H261" si="7">G198*1000000</f>
        <v>-9373.0065791736342</v>
      </c>
    </row>
    <row r="199" spans="1:8" x14ac:dyDescent="0.25">
      <c r="A199" s="2">
        <f>'Historical Prices'!A197</f>
        <v>45401</v>
      </c>
      <c r="B199" s="3">
        <f>'Historical Prices'!C197/'Historical Prices'!C196-1</f>
        <v>2.4486618230647794E-2</v>
      </c>
      <c r="C199" s="3">
        <f>'Historical Prices'!B197/'Historical Prices'!B196-1</f>
        <v>4.9803863343937937E-3</v>
      </c>
      <c r="D199" s="3">
        <f>'Historical Prices'!D197/'Historical Prices'!D196-1</f>
        <v>1.1180115535289303E-2</v>
      </c>
      <c r="E199" s="3">
        <f>'Historical Prices'!E197/'Historical Prices'!E196-1</f>
        <v>-5.6368491548556277E-3</v>
      </c>
      <c r="F199" s="3">
        <f>'Historical Prices'!F197/'Historical Prices'!F196-1</f>
        <v>2.8617993173287726E-2</v>
      </c>
      <c r="G199" s="9">
        <f t="shared" si="6"/>
        <v>1.3106771684523689E-2</v>
      </c>
      <c r="H199" s="6">
        <f t="shared" si="7"/>
        <v>13106.77168452369</v>
      </c>
    </row>
    <row r="200" spans="1:8" x14ac:dyDescent="0.25">
      <c r="A200" s="2">
        <f>'Historical Prices'!A198</f>
        <v>45404</v>
      </c>
      <c r="B200" s="3">
        <f>'Historical Prices'!C198/'Historical Prices'!C197-1</f>
        <v>-1.2473167836969723E-2</v>
      </c>
      <c r="C200" s="3">
        <f>'Historical Prices'!B198/'Historical Prices'!B197-1</f>
        <v>2.414732766355554E-2</v>
      </c>
      <c r="D200" s="3">
        <f>'Historical Prices'!D198/'Historical Prices'!D197-1</f>
        <v>1.8177602047736219E-2</v>
      </c>
      <c r="E200" s="3">
        <f>'Historical Prices'!E198/'Historical Prices'!E197-1</f>
        <v>1.5234762327946072E-2</v>
      </c>
      <c r="F200" s="3">
        <f>'Historical Prices'!F198/'Historical Prices'!F197-1</f>
        <v>3.7208090130234073E-3</v>
      </c>
      <c r="G200" s="9">
        <f t="shared" si="6"/>
        <v>9.4924852040519057E-3</v>
      </c>
      <c r="H200" s="6">
        <f t="shared" si="7"/>
        <v>9492.4852040519054</v>
      </c>
    </row>
    <row r="201" spans="1:8" x14ac:dyDescent="0.25">
      <c r="A201" s="2">
        <f>'Historical Prices'!A199</f>
        <v>45405</v>
      </c>
      <c r="B201" s="3">
        <f>'Historical Prices'!C199/'Historical Prices'!C198-1</f>
        <v>-3.0418449689256777E-3</v>
      </c>
      <c r="C201" s="3">
        <f>'Historical Prices'!B199/'Historical Prices'!B198-1</f>
        <v>1.7079420291197245E-3</v>
      </c>
      <c r="D201" s="3">
        <f>'Historical Prices'!D199/'Historical Prices'!D198-1</f>
        <v>3.3129312435222769E-3</v>
      </c>
      <c r="E201" s="3">
        <f>'Historical Prices'!E199/'Historical Prices'!E198-1</f>
        <v>6.7352462973711003E-3</v>
      </c>
      <c r="F201" s="3">
        <f>'Historical Prices'!F199/'Historical Prices'!F198-1</f>
        <v>-1.3416851378407979E-2</v>
      </c>
      <c r="G201" s="9">
        <f t="shared" si="6"/>
        <v>-9.1870037185355548E-4</v>
      </c>
      <c r="H201" s="6">
        <f t="shared" si="7"/>
        <v>-918.70037185355545</v>
      </c>
    </row>
    <row r="202" spans="1:8" x14ac:dyDescent="0.25">
      <c r="A202" s="2">
        <f>'Historical Prices'!A200</f>
        <v>45406</v>
      </c>
      <c r="B202" s="3">
        <f>'Historical Prices'!C200/'Historical Prices'!C199-1</f>
        <v>2.7195627728462402E-3</v>
      </c>
      <c r="C202" s="3">
        <f>'Historical Prices'!B200/'Historical Prices'!B199-1</f>
        <v>7.1039630153038047E-3</v>
      </c>
      <c r="D202" s="3">
        <f>'Historical Prices'!D200/'Historical Prices'!D199-1</f>
        <v>5.9619012578964181E-3</v>
      </c>
      <c r="E202" s="3">
        <f>'Historical Prices'!E200/'Historical Prices'!E199-1</f>
        <v>-8.0768042564458575E-3</v>
      </c>
      <c r="F202" s="3">
        <f>'Historical Prices'!F200/'Historical Prices'!F199-1</f>
        <v>-2.012099315385818E-3</v>
      </c>
      <c r="G202" s="9">
        <f t="shared" si="6"/>
        <v>1.3647639320275924E-3</v>
      </c>
      <c r="H202" s="6">
        <f t="shared" si="7"/>
        <v>1364.7639320275923</v>
      </c>
    </row>
    <row r="203" spans="1:8" x14ac:dyDescent="0.25">
      <c r="A203" s="2">
        <f>'Historical Prices'!A201</f>
        <v>45407</v>
      </c>
      <c r="B203" s="3">
        <f>'Historical Prices'!C201/'Historical Prices'!C200-1</f>
        <v>-6.2843867144424248E-4</v>
      </c>
      <c r="C203" s="3">
        <f>'Historical Prices'!B201/'Historical Prices'!B200-1</f>
        <v>5.9957690463690039E-2</v>
      </c>
      <c r="D203" s="3">
        <f>'Historical Prices'!D201/'Historical Prices'!D200-1</f>
        <v>1.5500385476162171E-2</v>
      </c>
      <c r="E203" s="3">
        <f>'Historical Prices'!E201/'Historical Prices'!E200-1</f>
        <v>5.3817492328349648E-3</v>
      </c>
      <c r="F203" s="3">
        <f>'Historical Prices'!F201/'Historical Prices'!F200-1</f>
        <v>1.8654889144885667E-2</v>
      </c>
      <c r="G203" s="9">
        <f t="shared" si="6"/>
        <v>1.903915165859706E-2</v>
      </c>
      <c r="H203" s="6">
        <f t="shared" si="7"/>
        <v>19039.15165859706</v>
      </c>
    </row>
    <row r="204" spans="1:8" x14ac:dyDescent="0.25">
      <c r="A204" s="2">
        <f>'Historical Prices'!A202</f>
        <v>45408</v>
      </c>
      <c r="B204" s="3">
        <f>'Historical Prices'!C202/'Historical Prices'!C201-1</f>
        <v>-6.2883385495660082E-4</v>
      </c>
      <c r="C204" s="3">
        <f>'Historical Prices'!B202/'Historical Prices'!B201-1</f>
        <v>2.9281398923199919E-3</v>
      </c>
      <c r="D204" s="3">
        <f>'Historical Prices'!D202/'Historical Prices'!D201-1</f>
        <v>-5.2525064159417711E-3</v>
      </c>
      <c r="E204" s="3">
        <f>'Historical Prices'!E202/'Historical Prices'!E201-1</f>
        <v>-5.7004784117969942E-3</v>
      </c>
      <c r="F204" s="3">
        <f>'Historical Prices'!F202/'Historical Prices'!F201-1</f>
        <v>-2.4775305252316637E-2</v>
      </c>
      <c r="G204" s="9">
        <f t="shared" si="6"/>
        <v>-6.6222193315212943E-3</v>
      </c>
      <c r="H204" s="6">
        <f t="shared" si="7"/>
        <v>-6622.2193315212944</v>
      </c>
    </row>
    <row r="205" spans="1:8" x14ac:dyDescent="0.25">
      <c r="A205" s="2">
        <f>'Historical Prices'!A203</f>
        <v>45411</v>
      </c>
      <c r="B205" s="3">
        <f>'Historical Prices'!C203/'Historical Prices'!C202-1</f>
        <v>1.3048069100413784E-2</v>
      </c>
      <c r="C205" s="3">
        <f>'Historical Prices'!B203/'Historical Prices'!B202-1</f>
        <v>2.5612592834688863E-2</v>
      </c>
      <c r="D205" s="3">
        <f>'Historical Prices'!D203/'Historical Prices'!D202-1</f>
        <v>4.7161238089785007E-2</v>
      </c>
      <c r="E205" s="3">
        <f>'Historical Prices'!E203/'Historical Prices'!E202-1</f>
        <v>3.1463243657408047E-3</v>
      </c>
      <c r="F205" s="3">
        <f>'Historical Prices'!F203/'Historical Prices'!F202-1</f>
        <v>8.3867121922345245E-3</v>
      </c>
      <c r="G205" s="9">
        <f t="shared" si="6"/>
        <v>2.0419217352478279E-2</v>
      </c>
      <c r="H205" s="6">
        <f t="shared" si="7"/>
        <v>20419.217352478277</v>
      </c>
    </row>
    <row r="206" spans="1:8" x14ac:dyDescent="0.25">
      <c r="A206" s="2">
        <f>'Historical Prices'!A204</f>
        <v>45412</v>
      </c>
      <c r="B206" s="3">
        <f>'Historical Prices'!C204/'Historical Prices'!C203-1</f>
        <v>-6.1458206918992841E-3</v>
      </c>
      <c r="C206" s="3">
        <f>'Historical Prices'!B204/'Historical Prices'!B203-1</f>
        <v>5.7365316271333899E-3</v>
      </c>
      <c r="D206" s="3">
        <f>'Historical Prices'!D204/'Historical Prices'!D203-1</f>
        <v>-8.4040917952398209E-3</v>
      </c>
      <c r="E206" s="3">
        <f>'Historical Prices'!E204/'Historical Prices'!E203-1</f>
        <v>-9.8973044222715467E-3</v>
      </c>
      <c r="F206" s="3">
        <f>'Historical Prices'!F204/'Historical Prices'!F203-1</f>
        <v>4.5731193599994668E-2</v>
      </c>
      <c r="G206" s="9">
        <f t="shared" si="6"/>
        <v>4.848280238773363E-3</v>
      </c>
      <c r="H206" s="6">
        <f t="shared" si="7"/>
        <v>4848.2802387733627</v>
      </c>
    </row>
    <row r="207" spans="1:8" x14ac:dyDescent="0.25">
      <c r="A207" s="2">
        <f>'Historical Prices'!A205</f>
        <v>45414</v>
      </c>
      <c r="B207" s="3">
        <f>'Historical Prices'!C205/'Historical Prices'!C204-1</f>
        <v>7.9929727389200789E-3</v>
      </c>
      <c r="C207" s="3">
        <f>'Historical Prices'!B205/'Historical Prices'!B204-1</f>
        <v>-1.3766203234821806E-2</v>
      </c>
      <c r="D207" s="3">
        <f>'Historical Prices'!D205/'Historical Prices'!D204-1</f>
        <v>-9.5184336859324148E-3</v>
      </c>
      <c r="E207" s="3">
        <f>'Historical Prices'!E205/'Historical Prices'!E204-1</f>
        <v>-4.2941470694322081E-3</v>
      </c>
      <c r="F207" s="3">
        <f>'Historical Prices'!F205/'Historical Prices'!F204-1</f>
        <v>1.3355825774120644E-2</v>
      </c>
      <c r="G207" s="9">
        <f t="shared" si="6"/>
        <v>-1.2376063110424648E-3</v>
      </c>
      <c r="H207" s="6">
        <f t="shared" si="7"/>
        <v>-1237.6063110424648</v>
      </c>
    </row>
    <row r="208" spans="1:8" x14ac:dyDescent="0.25">
      <c r="A208" s="2">
        <f>'Historical Prices'!A206</f>
        <v>45415</v>
      </c>
      <c r="B208" s="3">
        <f>'Historical Prices'!C206/'Historical Prices'!C205-1</f>
        <v>-8.2558209578109665E-3</v>
      </c>
      <c r="C208" s="3">
        <f>'Historical Prices'!B206/'Historical Prices'!B205-1</f>
        <v>-7.2618743191327217E-3</v>
      </c>
      <c r="D208" s="3">
        <f>'Historical Prices'!D206/'Historical Prices'!D205-1</f>
        <v>2.28185555341609E-3</v>
      </c>
      <c r="E208" s="3">
        <f>'Historical Prices'!E206/'Historical Prices'!E205-1</f>
        <v>1.3081002101407169E-3</v>
      </c>
      <c r="F208" s="3">
        <f>'Historical Prices'!F206/'Historical Prices'!F205-1</f>
        <v>3.5924999670406965E-3</v>
      </c>
      <c r="G208" s="9">
        <f t="shared" si="6"/>
        <v>-1.6211027685314181E-3</v>
      </c>
      <c r="H208" s="6">
        <f t="shared" si="7"/>
        <v>-1621.1027685314182</v>
      </c>
    </row>
    <row r="209" spans="1:8" x14ac:dyDescent="0.25">
      <c r="A209" s="2">
        <f>'Historical Prices'!A207</f>
        <v>45418</v>
      </c>
      <c r="B209" s="3">
        <f>'Historical Prices'!C207/'Historical Prices'!C206-1</f>
        <v>2.007059103041664E-3</v>
      </c>
      <c r="C209" s="3">
        <f>'Historical Prices'!B207/'Historical Prices'!B206-1</f>
        <v>1.8835254287721259E-3</v>
      </c>
      <c r="D209" s="3">
        <f>'Historical Prices'!D207/'Historical Prices'!D206-1</f>
        <v>3.7213611145590075E-3</v>
      </c>
      <c r="E209" s="3">
        <f>'Historical Prices'!E207/'Historical Prices'!E206-1</f>
        <v>6.7782143534886874E-3</v>
      </c>
      <c r="F209" s="3">
        <f>'Historical Prices'!F207/'Historical Prices'!F206-1</f>
        <v>1.4569067851982975E-2</v>
      </c>
      <c r="G209" s="9">
        <f t="shared" si="6"/>
        <v>5.6784283826547075E-3</v>
      </c>
      <c r="H209" s="6">
        <f t="shared" si="7"/>
        <v>5678.4283826547071</v>
      </c>
    </row>
    <row r="210" spans="1:8" x14ac:dyDescent="0.25">
      <c r="A210" s="2">
        <f>'Historical Prices'!A208</f>
        <v>45419</v>
      </c>
      <c r="B210" s="3">
        <f>'Historical Prices'!C208/'Historical Prices'!C207-1</f>
        <v>-1.0836453767176568E-2</v>
      </c>
      <c r="C210" s="3">
        <f>'Historical Prices'!B208/'Historical Prices'!B207-1</f>
        <v>-1.3946614904592702E-2</v>
      </c>
      <c r="D210" s="3">
        <f>'Historical Prices'!D208/'Historical Prices'!D207-1</f>
        <v>-1.256214519160026E-2</v>
      </c>
      <c r="E210" s="3">
        <f>'Historical Prices'!E208/'Historical Prices'!E207-1</f>
        <v>1.0554579200079406E-2</v>
      </c>
      <c r="F210" s="3">
        <f>'Historical Prices'!F208/'Historical Prices'!F207-1</f>
        <v>-1.5034047819055929E-2</v>
      </c>
      <c r="G210" s="9">
        <f t="shared" si="6"/>
        <v>-8.6725655018232827E-3</v>
      </c>
      <c r="H210" s="6">
        <f t="shared" si="7"/>
        <v>-8672.5655018232828</v>
      </c>
    </row>
    <row r="211" spans="1:8" x14ac:dyDescent="0.25">
      <c r="A211" s="2">
        <f>'Historical Prices'!A209</f>
        <v>45420</v>
      </c>
      <c r="B211" s="3">
        <f>'Historical Prices'!C209/'Historical Prices'!C208-1</f>
        <v>-1.5602624013039024E-2</v>
      </c>
      <c r="C211" s="3">
        <f>'Historical Prices'!B209/'Historical Prices'!B208-1</f>
        <v>8.4244755102091951E-4</v>
      </c>
      <c r="D211" s="3">
        <f>'Historical Prices'!D209/'Historical Prices'!D208-1</f>
        <v>-7.8629611464673399E-3</v>
      </c>
      <c r="E211" s="3">
        <f>'Historical Prices'!E209/'Historical Prices'!E208-1</f>
        <v>-9.4727617421983545E-3</v>
      </c>
      <c r="F211" s="3">
        <f>'Historical Prices'!F209/'Historical Prices'!F208-1</f>
        <v>-4.1524904883768476E-3</v>
      </c>
      <c r="G211" s="9">
        <f t="shared" si="6"/>
        <v>-7.4692224112289842E-3</v>
      </c>
      <c r="H211" s="6">
        <f t="shared" si="7"/>
        <v>-7469.2224112289841</v>
      </c>
    </row>
    <row r="212" spans="1:8" x14ac:dyDescent="0.25">
      <c r="A212" s="2">
        <f>'Historical Prices'!A210</f>
        <v>45421</v>
      </c>
      <c r="B212" s="3">
        <f>'Historical Prices'!C210/'Historical Prices'!C209-1</f>
        <v>-2.3707561259000087E-2</v>
      </c>
      <c r="C212" s="3">
        <f>'Historical Prices'!B210/'Historical Prices'!B209-1</f>
        <v>-1.1518177820603936E-2</v>
      </c>
      <c r="D212" s="3">
        <f>'Historical Prices'!D210/'Historical Prices'!D209-1</f>
        <v>-6.5004119508640379E-3</v>
      </c>
      <c r="E212" s="3">
        <f>'Historical Prices'!E210/'Historical Prices'!E209-1</f>
        <v>8.5824797210525272E-3</v>
      </c>
      <c r="F212" s="3">
        <f>'Historical Prices'!F210/'Historical Prices'!F209-1</f>
        <v>1.3815214263404929E-2</v>
      </c>
      <c r="G212" s="9">
        <f t="shared" si="6"/>
        <v>-4.348308133632791E-3</v>
      </c>
      <c r="H212" s="6">
        <f t="shared" si="7"/>
        <v>-4348.3081336327914</v>
      </c>
    </row>
    <row r="213" spans="1:8" x14ac:dyDescent="0.25">
      <c r="A213" s="2">
        <f>'Historical Prices'!A211</f>
        <v>45422</v>
      </c>
      <c r="B213" s="3">
        <f>'Historical Prices'!C211/'Historical Prices'!C210-1</f>
        <v>6.9327516833612712E-3</v>
      </c>
      <c r="C213" s="3">
        <f>'Historical Prices'!B211/'Historical Prices'!B210-1</f>
        <v>3.988691231733732E-3</v>
      </c>
      <c r="D213" s="3">
        <f>'Historical Prices'!D211/'Historical Prices'!D210-1</f>
        <v>1.2100156550680641E-3</v>
      </c>
      <c r="E213" s="3">
        <f>'Historical Prices'!E211/'Historical Prices'!E210-1</f>
        <v>-1.0176609891008104E-2</v>
      </c>
      <c r="F213" s="3">
        <f>'Historical Prices'!F211/'Historical Prices'!F210-1</f>
        <v>-8.8134720458173943E-3</v>
      </c>
      <c r="G213" s="9">
        <f t="shared" si="6"/>
        <v>-1.1052300826342484E-3</v>
      </c>
      <c r="H213" s="6">
        <f t="shared" si="7"/>
        <v>-1105.2300826342484</v>
      </c>
    </row>
    <row r="214" spans="1:8" x14ac:dyDescent="0.25">
      <c r="A214" s="2">
        <f>'Historical Prices'!A212</f>
        <v>45425</v>
      </c>
      <c r="B214" s="3">
        <f>'Historical Prices'!C212/'Historical Prices'!C211-1</f>
        <v>1.2066211712099095E-2</v>
      </c>
      <c r="C214" s="3">
        <f>'Historical Prices'!B212/'Historical Prices'!B211-1</f>
        <v>1.0624112536151253E-2</v>
      </c>
      <c r="D214" s="3">
        <f>'Historical Prices'!D212/'Historical Prices'!D211-1</f>
        <v>9.802610430296399E-3</v>
      </c>
      <c r="E214" s="3">
        <f>'Historical Prices'!E212/'Historical Prices'!E211-1</f>
        <v>-1.0177584344591706E-3</v>
      </c>
      <c r="F214" s="3">
        <f>'Historical Prices'!F212/'Historical Prices'!F211-1</f>
        <v>-4.0124823646447982E-3</v>
      </c>
      <c r="G214" s="9">
        <f t="shared" si="6"/>
        <v>5.7711910209774821E-3</v>
      </c>
      <c r="H214" s="6">
        <f t="shared" si="7"/>
        <v>5771.1910209774824</v>
      </c>
    </row>
    <row r="215" spans="1:8" x14ac:dyDescent="0.25">
      <c r="A215" s="2">
        <f>'Historical Prices'!A213</f>
        <v>45426</v>
      </c>
      <c r="B215" s="3">
        <f>'Historical Prices'!C213/'Historical Prices'!C212-1</f>
        <v>3.9168485936049713E-3</v>
      </c>
      <c r="C215" s="3">
        <f>'Historical Prices'!B213/'Historical Prices'!B212-1</f>
        <v>-8.0831066767295123E-3</v>
      </c>
      <c r="D215" s="3">
        <f>'Historical Prices'!D213/'Historical Prices'!D212-1</f>
        <v>-6.6045902035017923E-3</v>
      </c>
      <c r="E215" s="3">
        <f>'Historical Prices'!E213/'Historical Prices'!E212-1</f>
        <v>8.7818518940752099E-4</v>
      </c>
      <c r="F215" s="3">
        <f>'Historical Prices'!F213/'Historical Prices'!F212-1</f>
        <v>3.9212418789389636E-2</v>
      </c>
      <c r="G215" s="9">
        <f t="shared" si="6"/>
        <v>5.5583761674410787E-3</v>
      </c>
      <c r="H215" s="6">
        <f t="shared" si="7"/>
        <v>5558.3761674410789</v>
      </c>
    </row>
    <row r="216" spans="1:8" x14ac:dyDescent="0.25">
      <c r="A216" s="2">
        <f>'Historical Prices'!A214</f>
        <v>45427</v>
      </c>
      <c r="B216" s="3">
        <f>'Historical Prices'!C214/'Historical Prices'!C213-1</f>
        <v>-1.5366691060426096E-2</v>
      </c>
      <c r="C216" s="3">
        <f>'Historical Prices'!B214/'Historical Prices'!B213-1</f>
        <v>4.6311351070484896E-3</v>
      </c>
      <c r="D216" s="3">
        <f>'Historical Prices'!D214/'Historical Prices'!D213-1</f>
        <v>3.3911329204412421E-3</v>
      </c>
      <c r="E216" s="3">
        <f>'Historical Prices'!E214/'Historical Prices'!E213-1</f>
        <v>-3.3341199104232055E-3</v>
      </c>
      <c r="F216" s="3">
        <f>'Historical Prices'!F214/'Historical Prices'!F213-1</f>
        <v>1.4273923049341386E-2</v>
      </c>
      <c r="G216" s="9">
        <f t="shared" si="6"/>
        <v>5.3186400610427589E-4</v>
      </c>
      <c r="H216" s="6">
        <f t="shared" si="7"/>
        <v>531.86400610427586</v>
      </c>
    </row>
    <row r="217" spans="1:8" x14ac:dyDescent="0.25">
      <c r="A217" s="2">
        <f>'Historical Prices'!A215</f>
        <v>45428</v>
      </c>
      <c r="B217" s="3">
        <f>'Historical Prices'!C215/'Historical Prices'!C214-1</f>
        <v>1.511988175404233E-2</v>
      </c>
      <c r="C217" s="3">
        <f>'Historical Prices'!B215/'Historical Prices'!B214-1</f>
        <v>9.9730281330727699E-3</v>
      </c>
      <c r="D217" s="3">
        <f>'Historical Prices'!D215/'Historical Prices'!D214-1</f>
        <v>5.9590212961280198E-3</v>
      </c>
      <c r="E217" s="3">
        <f>'Historical Prices'!E215/'Historical Prices'!E214-1</f>
        <v>2.3522048673075391E-2</v>
      </c>
      <c r="F217" s="3">
        <f>'Historical Prices'!F215/'Historical Prices'!F214-1</f>
        <v>3.0165230626073569E-2</v>
      </c>
      <c r="G217" s="9">
        <f t="shared" si="6"/>
        <v>1.6533714057009426E-2</v>
      </c>
      <c r="H217" s="6">
        <f t="shared" si="7"/>
        <v>16533.714057009427</v>
      </c>
    </row>
    <row r="218" spans="1:8" x14ac:dyDescent="0.25">
      <c r="A218" s="2">
        <f>'Historical Prices'!A216</f>
        <v>45429</v>
      </c>
      <c r="B218" s="3">
        <f>'Historical Prices'!C216/'Historical Prices'!C215-1</f>
        <v>2.6365124242591076E-3</v>
      </c>
      <c r="C218" s="3">
        <f>'Historical Prices'!B216/'Historical Prices'!B215-1</f>
        <v>1.799199961764808E-3</v>
      </c>
      <c r="D218" s="3">
        <f>'Historical Prices'!D216/'Historical Prices'!D215-1</f>
        <v>-4.8628722030330529E-4</v>
      </c>
      <c r="E218" s="3">
        <f>'Historical Prices'!E216/'Historical Prices'!E215-1</f>
        <v>-6.2269926153064592E-3</v>
      </c>
      <c r="F218" s="3">
        <f>'Historical Prices'!F216/'Historical Prices'!F215-1</f>
        <v>6.0229939786325959E-2</v>
      </c>
      <c r="G218" s="9">
        <f t="shared" si="6"/>
        <v>1.1251823333588852E-2</v>
      </c>
      <c r="H218" s="6">
        <f t="shared" si="7"/>
        <v>11251.823333588853</v>
      </c>
    </row>
    <row r="219" spans="1:8" x14ac:dyDescent="0.25">
      <c r="A219" s="2">
        <f>'Historical Prices'!A217</f>
        <v>45433</v>
      </c>
      <c r="B219" s="3">
        <f>'Historical Prices'!C217/'Historical Prices'!C216-1</f>
        <v>-3.6199238837579806E-3</v>
      </c>
      <c r="C219" s="3">
        <f>'Historical Prices'!B217/'Historical Prices'!B216-1</f>
        <v>-3.241684827012703E-3</v>
      </c>
      <c r="D219" s="3">
        <f>'Historical Prices'!D217/'Historical Prices'!D216-1</f>
        <v>-8.447651487809571E-3</v>
      </c>
      <c r="E219" s="3">
        <f>'Historical Prices'!E217/'Historical Prices'!E216-1</f>
        <v>-7.0276063637964015E-3</v>
      </c>
      <c r="F219" s="3">
        <f>'Historical Prices'!F217/'Historical Prices'!F216-1</f>
        <v>3.2012266952459179E-3</v>
      </c>
      <c r="G219" s="9">
        <f t="shared" si="6"/>
        <v>-3.9626775403931707E-3</v>
      </c>
      <c r="H219" s="6">
        <f t="shared" si="7"/>
        <v>-3962.6775403931706</v>
      </c>
    </row>
    <row r="220" spans="1:8" x14ac:dyDescent="0.25">
      <c r="A220" s="2">
        <f>'Historical Prices'!A218</f>
        <v>45434</v>
      </c>
      <c r="B220" s="3">
        <f>'Historical Prices'!C218/'Historical Prices'!C217-1</f>
        <v>2.7415532571728463E-4</v>
      </c>
      <c r="C220" s="3">
        <f>'Historical Prices'!B218/'Historical Prices'!B217-1</f>
        <v>-1.0240370343281735E-2</v>
      </c>
      <c r="D220" s="3">
        <f>'Historical Prices'!D218/'Historical Prices'!D217-1</f>
        <v>-8.7871684971873032E-3</v>
      </c>
      <c r="E220" s="3">
        <f>'Historical Prices'!E218/'Historical Prices'!E217-1</f>
        <v>1.4398710311806617E-2</v>
      </c>
      <c r="F220" s="3">
        <f>'Historical Prices'!F218/'Historical Prices'!F217-1</f>
        <v>-6.3425003830619442E-4</v>
      </c>
      <c r="G220" s="9">
        <f t="shared" si="6"/>
        <v>-1.3027632860821824E-3</v>
      </c>
      <c r="H220" s="6">
        <f t="shared" si="7"/>
        <v>-1302.7632860821825</v>
      </c>
    </row>
    <row r="221" spans="1:8" x14ac:dyDescent="0.25">
      <c r="A221" s="2">
        <f>'Historical Prices'!A219</f>
        <v>45435</v>
      </c>
      <c r="B221" s="3">
        <f>'Historical Prices'!C219/'Historical Prices'!C218-1</f>
        <v>2.2889229200330652E-2</v>
      </c>
      <c r="C221" s="3">
        <f>'Historical Prices'!B219/'Historical Prices'!B218-1</f>
        <v>3.4857867411307364E-2</v>
      </c>
      <c r="D221" s="3">
        <f>'Historical Prices'!D219/'Historical Prices'!D218-1</f>
        <v>2.1060249711896351E-2</v>
      </c>
      <c r="E221" s="3">
        <f>'Historical Prices'!E219/'Historical Prices'!E218-1</f>
        <v>1.2097941352281927E-2</v>
      </c>
      <c r="F221" s="3">
        <f>'Historical Prices'!F219/'Historical Prices'!F218-1</f>
        <v>3.4965610316765927E-2</v>
      </c>
      <c r="G221" s="9">
        <f t="shared" si="6"/>
        <v>2.501950354667953E-2</v>
      </c>
      <c r="H221" s="6">
        <f t="shared" si="7"/>
        <v>25019.503546679531</v>
      </c>
    </row>
    <row r="222" spans="1:8" x14ac:dyDescent="0.25">
      <c r="A222" s="2">
        <f>'Historical Prices'!A220</f>
        <v>45436</v>
      </c>
      <c r="B222" s="3">
        <f>'Historical Prices'!C220/'Historical Prices'!C219-1</f>
        <v>1.6481357665961927E-2</v>
      </c>
      <c r="C222" s="3">
        <f>'Historical Prices'!B220/'Historical Prices'!B219-1</f>
        <v>7.5090744625732064E-3</v>
      </c>
      <c r="D222" s="3">
        <f>'Historical Prices'!D220/'Historical Prices'!D219-1</f>
        <v>-2.2478083537706972E-3</v>
      </c>
      <c r="E222" s="3">
        <f>'Historical Prices'!E220/'Historical Prices'!E219-1</f>
        <v>-4.9578235488390021E-3</v>
      </c>
      <c r="F222" s="3">
        <f>'Historical Prices'!F220/'Historical Prices'!F219-1</f>
        <v>-1.1287042779814294E-2</v>
      </c>
      <c r="G222" s="9">
        <f t="shared" si="6"/>
        <v>1.2488674983995788E-3</v>
      </c>
      <c r="H222" s="6">
        <f t="shared" si="7"/>
        <v>1248.8674983995788</v>
      </c>
    </row>
    <row r="223" spans="1:8" x14ac:dyDescent="0.25">
      <c r="A223" s="2">
        <f>'Historical Prices'!A221</f>
        <v>45439</v>
      </c>
      <c r="B223" s="3">
        <f>'Historical Prices'!C221/'Historical Prices'!C220-1</f>
        <v>6.9206446889555906E-3</v>
      </c>
      <c r="C223" s="3">
        <f>'Historical Prices'!B221/'Historical Prices'!B220-1</f>
        <v>1.1073246375536971E-2</v>
      </c>
      <c r="D223" s="3">
        <f>'Historical Prices'!D221/'Historical Prices'!D220-1</f>
        <v>-1.8991685417567572E-3</v>
      </c>
      <c r="E223" s="3">
        <f>'Historical Prices'!E221/'Historical Prices'!E220-1</f>
        <v>4.2657380971886649E-3</v>
      </c>
      <c r="F223" s="3">
        <f>'Historical Prices'!F221/'Historical Prices'!F220-1</f>
        <v>-1.1880931799250649E-2</v>
      </c>
      <c r="G223" s="9">
        <f t="shared" si="6"/>
        <v>1.5566251297630053E-3</v>
      </c>
      <c r="H223" s="6">
        <f t="shared" si="7"/>
        <v>1556.6251297630054</v>
      </c>
    </row>
    <row r="224" spans="1:8" x14ac:dyDescent="0.25">
      <c r="A224" s="2">
        <f>'Historical Prices'!A222</f>
        <v>45440</v>
      </c>
      <c r="B224" s="3">
        <f>'Historical Prices'!C222/'Historical Prices'!C221-1</f>
        <v>1.8328648540426595E-3</v>
      </c>
      <c r="C224" s="3">
        <f>'Historical Prices'!B222/'Historical Prices'!B221-1</f>
        <v>-3.0327936534411126E-3</v>
      </c>
      <c r="D224" s="3">
        <f>'Historical Prices'!D222/'Historical Prices'!D221-1</f>
        <v>-2.5227202632134293E-3</v>
      </c>
      <c r="E224" s="3">
        <f>'Historical Prices'!E222/'Historical Prices'!E221-1</f>
        <v>-2.9224042741775591E-3</v>
      </c>
      <c r="F224" s="3">
        <f>'Historical Prices'!F222/'Historical Prices'!F221-1</f>
        <v>1.4515887629675817E-3</v>
      </c>
      <c r="G224" s="9">
        <f t="shared" si="6"/>
        <v>-1.0063699477300934E-3</v>
      </c>
      <c r="H224" s="6">
        <f t="shared" si="7"/>
        <v>-1006.3699477300934</v>
      </c>
    </row>
    <row r="225" spans="1:8" x14ac:dyDescent="0.25">
      <c r="A225" s="2">
        <f>'Historical Prices'!A223</f>
        <v>45441</v>
      </c>
      <c r="B225" s="3">
        <f>'Historical Prices'!C223/'Historical Prices'!C222-1</f>
        <v>-1.450510823569473E-2</v>
      </c>
      <c r="C225" s="3">
        <f>'Historical Prices'!B223/'Historical Prices'!B222-1</f>
        <v>-1.9984785766658075E-2</v>
      </c>
      <c r="D225" s="3">
        <f>'Historical Prices'!D223/'Historical Prices'!D222-1</f>
        <v>-2.2139288154805814E-2</v>
      </c>
      <c r="E225" s="3">
        <f>'Historical Prices'!E223/'Historical Prices'!E222-1</f>
        <v>-1.0974455119170168E-2</v>
      </c>
      <c r="F225" s="3">
        <f>'Historical Prices'!F223/'Historical Prices'!F222-1</f>
        <v>-7.5016795024551719E-3</v>
      </c>
      <c r="G225" s="9">
        <f t="shared" si="6"/>
        <v>-1.5253728924017823E-2</v>
      </c>
      <c r="H225" s="6">
        <f t="shared" si="7"/>
        <v>-15253.728924017823</v>
      </c>
    </row>
    <row r="226" spans="1:8" x14ac:dyDescent="0.25">
      <c r="A226" s="2">
        <f>'Historical Prices'!A224</f>
        <v>45442</v>
      </c>
      <c r="B226" s="3">
        <f>'Historical Prices'!C224/'Historical Prices'!C223-1</f>
        <v>4.3426708413762949E-3</v>
      </c>
      <c r="C226" s="3">
        <f>'Historical Prices'!B224/'Historical Prices'!B223-1</f>
        <v>7.0704257153200167E-3</v>
      </c>
      <c r="D226" s="3">
        <f>'Historical Prices'!D224/'Historical Prices'!D223-1</f>
        <v>1.0617021863603471E-2</v>
      </c>
      <c r="E226" s="3">
        <f>'Historical Prices'!E224/'Historical Prices'!E223-1</f>
        <v>-1.6196274659633358E-2</v>
      </c>
      <c r="F226" s="3">
        <f>'Historical Prices'!F224/'Historical Prices'!F223-1</f>
        <v>-1.5846634273515181E-2</v>
      </c>
      <c r="G226" s="9">
        <f t="shared" si="6"/>
        <v>-1.4035273087823932E-3</v>
      </c>
      <c r="H226" s="6">
        <f t="shared" si="7"/>
        <v>-1403.5273087823932</v>
      </c>
    </row>
    <row r="227" spans="1:8" x14ac:dyDescent="0.25">
      <c r="A227" s="2">
        <f>'Historical Prices'!A225</f>
        <v>45443</v>
      </c>
      <c r="B227" s="3">
        <f>'Historical Prices'!C225/'Historical Prices'!C224-1</f>
        <v>1.1024222554699481E-2</v>
      </c>
      <c r="C227" s="3">
        <f>'Historical Prices'!B225/'Historical Prices'!B224-1</f>
        <v>-4.9659804149694287E-3</v>
      </c>
      <c r="D227" s="3">
        <f>'Historical Prices'!D225/'Historical Prices'!D224-1</f>
        <v>6.599743519311918E-3</v>
      </c>
      <c r="E227" s="3">
        <f>'Historical Prices'!E225/'Historical Prices'!E224-1</f>
        <v>5.323665381058662E-3</v>
      </c>
      <c r="F227" s="3">
        <f>'Historical Prices'!F225/'Historical Prices'!F224-1</f>
        <v>5.1132241180702476E-3</v>
      </c>
      <c r="G227" s="9">
        <f t="shared" si="6"/>
        <v>4.8787455061431303E-3</v>
      </c>
      <c r="H227" s="6">
        <f t="shared" si="7"/>
        <v>4878.7455061431301</v>
      </c>
    </row>
    <row r="228" spans="1:8" x14ac:dyDescent="0.25">
      <c r="A228" s="2">
        <f>'Historical Prices'!A226</f>
        <v>45446</v>
      </c>
      <c r="B228" s="3">
        <f>'Historical Prices'!C226/'Historical Prices'!C225-1</f>
        <v>2.6541674437006613E-2</v>
      </c>
      <c r="C228" s="3">
        <f>'Historical Prices'!B226/'Historical Prices'!B225-1</f>
        <v>5.3134373805940438E-2</v>
      </c>
      <c r="D228" s="3">
        <f>'Historical Prices'!D226/'Historical Prices'!D225-1</f>
        <v>3.4744080943741373E-2</v>
      </c>
      <c r="E228" s="3">
        <f>'Historical Prices'!E226/'Historical Prices'!E225-1</f>
        <v>-7.1084463129578168E-4</v>
      </c>
      <c r="F228" s="3">
        <f>'Historical Prices'!F226/'Historical Prices'!F225-1</f>
        <v>5.0972573474011407E-2</v>
      </c>
      <c r="G228" s="9">
        <f t="shared" si="6"/>
        <v>3.3005587895800208E-2</v>
      </c>
      <c r="H228" s="6">
        <f t="shared" si="7"/>
        <v>33005.587895800207</v>
      </c>
    </row>
    <row r="229" spans="1:8" x14ac:dyDescent="0.25">
      <c r="A229" s="2">
        <f>'Historical Prices'!A227</f>
        <v>45447</v>
      </c>
      <c r="B229" s="3">
        <f>'Historical Prices'!C227/'Historical Prices'!C226-1</f>
        <v>-5.6640327834704185E-2</v>
      </c>
      <c r="C229" s="3">
        <f>'Historical Prices'!B227/'Historical Prices'!B226-1</f>
        <v>-7.570072911039738E-2</v>
      </c>
      <c r="D229" s="3">
        <f>'Historical Prices'!D227/'Historical Prices'!D226-1</f>
        <v>-7.6336154510237342E-2</v>
      </c>
      <c r="E229" s="3">
        <f>'Historical Prices'!E227/'Historical Prices'!E226-1</f>
        <v>-8.7132790006183569E-3</v>
      </c>
      <c r="F229" s="3">
        <f>'Historical Prices'!F227/'Historical Prices'!F226-1</f>
        <v>-2.3196662868477214E-2</v>
      </c>
      <c r="G229" s="9">
        <f t="shared" si="6"/>
        <v>-4.9360777532779829E-2</v>
      </c>
      <c r="H229" s="6">
        <f t="shared" si="7"/>
        <v>-49360.77753277983</v>
      </c>
    </row>
    <row r="230" spans="1:8" x14ac:dyDescent="0.25">
      <c r="A230" s="2">
        <f>'Historical Prices'!A228</f>
        <v>45448</v>
      </c>
      <c r="B230" s="3">
        <f>'Historical Prices'!C228/'Historical Prices'!C227-1</f>
        <v>4.628666948701321E-2</v>
      </c>
      <c r="C230" s="3">
        <f>'Historical Prices'!B228/'Historical Prices'!B227-1</f>
        <v>4.7071849307778413E-2</v>
      </c>
      <c r="D230" s="3">
        <f>'Historical Prices'!D228/'Historical Prices'!D227-1</f>
        <v>3.4719273686260488E-2</v>
      </c>
      <c r="E230" s="3">
        <f>'Historical Prices'!E228/'Historical Prices'!E227-1</f>
        <v>2.6154349772601115E-2</v>
      </c>
      <c r="F230" s="3">
        <f>'Historical Prices'!F228/'Historical Prices'!F227-1</f>
        <v>6.5315457852461511E-2</v>
      </c>
      <c r="G230" s="9">
        <f t="shared" si="6"/>
        <v>4.3756766990993103E-2</v>
      </c>
      <c r="H230" s="6">
        <f t="shared" si="7"/>
        <v>43756.766990993099</v>
      </c>
    </row>
    <row r="231" spans="1:8" x14ac:dyDescent="0.25">
      <c r="A231" s="2">
        <f>'Historical Prices'!A229</f>
        <v>45449</v>
      </c>
      <c r="B231" s="3">
        <f>'Historical Prices'!C229/'Historical Prices'!C228-1</f>
        <v>5.0907184126729454E-3</v>
      </c>
      <c r="C231" s="3">
        <f>'Historical Prices'!B229/'Historical Prices'!B228-1</f>
        <v>-1.1439437796507468E-2</v>
      </c>
      <c r="D231" s="3">
        <f>'Historical Prices'!D229/'Historical Prices'!D228-1</f>
        <v>1.5783962180795363E-3</v>
      </c>
      <c r="E231" s="3">
        <f>'Historical Prices'!E229/'Historical Prices'!E228-1</f>
        <v>2.9473391330626875E-2</v>
      </c>
      <c r="F231" s="3">
        <f>'Historical Prices'!F229/'Historical Prices'!F228-1</f>
        <v>-1.49948001173138E-2</v>
      </c>
      <c r="G231" s="9">
        <f t="shared" si="6"/>
        <v>1.8600260106124786E-3</v>
      </c>
      <c r="H231" s="6">
        <f t="shared" si="7"/>
        <v>1860.0260106124786</v>
      </c>
    </row>
    <row r="232" spans="1:8" x14ac:dyDescent="0.25">
      <c r="A232" s="2">
        <f>'Historical Prices'!A230</f>
        <v>45450</v>
      </c>
      <c r="B232" s="3">
        <f>'Historical Prices'!C230/'Historical Prices'!C229-1</f>
        <v>8.7516529193181203E-3</v>
      </c>
      <c r="C232" s="3">
        <f>'Historical Prices'!B230/'Historical Prices'!B229-1</f>
        <v>1.353608249577265E-2</v>
      </c>
      <c r="D232" s="3">
        <f>'Historical Prices'!D230/'Historical Prices'!D229-1</f>
        <v>1.0176589449839346E-2</v>
      </c>
      <c r="E232" s="3">
        <f>'Historical Prices'!E230/'Historical Prices'!E229-1</f>
        <v>4.1670908014126429E-2</v>
      </c>
      <c r="F232" s="3">
        <f>'Historical Prices'!F230/'Historical Prices'!F229-1</f>
        <v>5.8373600768859113E-2</v>
      </c>
      <c r="G232" s="9">
        <f t="shared" si="6"/>
        <v>2.5598219415633679E-2</v>
      </c>
      <c r="H232" s="6">
        <f t="shared" si="7"/>
        <v>25598.219415633677</v>
      </c>
    </row>
    <row r="233" spans="1:8" x14ac:dyDescent="0.25">
      <c r="A233" s="2">
        <f>'Historical Prices'!A231</f>
        <v>45453</v>
      </c>
      <c r="B233" s="3">
        <f>'Historical Prices'!C231/'Historical Prices'!C230-1</f>
        <v>-7.6586259221266273E-3</v>
      </c>
      <c r="C233" s="3">
        <f>'Historical Prices'!B231/'Historical Prices'!B230-1</f>
        <v>1.1122288674711323E-2</v>
      </c>
      <c r="D233" s="3">
        <f>'Historical Prices'!D231/'Historical Prices'!D230-1</f>
        <v>1.8721288270919789E-3</v>
      </c>
      <c r="E233" s="3">
        <f>'Historical Prices'!E231/'Historical Prices'!E230-1</f>
        <v>-2.2072243376595302E-2</v>
      </c>
      <c r="F233" s="3">
        <f>'Historical Prices'!F231/'Historical Prices'!F230-1</f>
        <v>-1.7463060360672134E-2</v>
      </c>
      <c r="G233" s="9">
        <f t="shared" si="6"/>
        <v>-6.5725267482543695E-3</v>
      </c>
      <c r="H233" s="6">
        <f t="shared" si="7"/>
        <v>-6572.5267482543695</v>
      </c>
    </row>
    <row r="234" spans="1:8" x14ac:dyDescent="0.25">
      <c r="A234" s="2">
        <f>'Historical Prices'!A232</f>
        <v>45454</v>
      </c>
      <c r="B234" s="3">
        <f>'Historical Prices'!C232/'Historical Prices'!C231-1</f>
        <v>2.2416144263692761E-3</v>
      </c>
      <c r="C234" s="3">
        <f>'Historical Prices'!B232/'Historical Prices'!B231-1</f>
        <v>-4.4999076157647977E-3</v>
      </c>
      <c r="D234" s="3">
        <f>'Historical Prices'!D232/'Historical Prices'!D231-1</f>
        <v>-4.9830889161517344E-3</v>
      </c>
      <c r="E234" s="3">
        <f>'Historical Prices'!E232/'Historical Prices'!E231-1</f>
        <v>-2.667084611810755E-3</v>
      </c>
      <c r="F234" s="3">
        <f>'Historical Prices'!F232/'Historical Prices'!F231-1</f>
        <v>9.9730946921574581E-3</v>
      </c>
      <c r="G234" s="9">
        <f t="shared" si="6"/>
        <v>-6.0178238058815857E-5</v>
      </c>
      <c r="H234" s="6">
        <f t="shared" si="7"/>
        <v>-60.178238058815857</v>
      </c>
    </row>
    <row r="235" spans="1:8" x14ac:dyDescent="0.25">
      <c r="A235" s="2">
        <f>'Historical Prices'!A233</f>
        <v>45455</v>
      </c>
      <c r="B235" s="3">
        <f>'Historical Prices'!C233/'Historical Prices'!C232-1</f>
        <v>5.9751995142296455E-3</v>
      </c>
      <c r="C235" s="3">
        <f>'Historical Prices'!B233/'Historical Prices'!B232-1</f>
        <v>-5.6086724851163172E-3</v>
      </c>
      <c r="D235" s="3">
        <f>'Historical Prices'!D233/'Historical Prices'!D232-1</f>
        <v>1.2074223072253698E-3</v>
      </c>
      <c r="E235" s="3">
        <f>'Historical Prices'!E233/'Historical Prices'!E232-1</f>
        <v>-7.053191921626123E-3</v>
      </c>
      <c r="F235" s="3">
        <f>'Historical Prices'!F233/'Historical Prices'!F232-1</f>
        <v>-1.6928011073547689E-2</v>
      </c>
      <c r="G235" s="9">
        <f t="shared" si="6"/>
        <v>-4.0659441037742923E-3</v>
      </c>
      <c r="H235" s="6">
        <f t="shared" si="7"/>
        <v>-4065.9441037742922</v>
      </c>
    </row>
    <row r="236" spans="1:8" x14ac:dyDescent="0.25">
      <c r="A236" s="2">
        <f>'Historical Prices'!A234</f>
        <v>45456</v>
      </c>
      <c r="B236" s="3">
        <f>'Historical Prices'!C234/'Historical Prices'!C233-1</f>
        <v>4.1927260621013041E-3</v>
      </c>
      <c r="C236" s="3">
        <f>'Historical Prices'!B234/'Historical Prices'!B233-1</f>
        <v>-1.11541203928891E-2</v>
      </c>
      <c r="D236" s="3">
        <f>'Historical Prices'!D234/'Historical Prices'!D233-1</f>
        <v>-1.0897280870879045E-2</v>
      </c>
      <c r="E236" s="3">
        <f>'Historical Prices'!E234/'Historical Prices'!E233-1</f>
        <v>5.8913864322618359E-3</v>
      </c>
      <c r="F236" s="3">
        <f>'Historical Prices'!F234/'Historical Prices'!F233-1</f>
        <v>2.6600488963717694E-2</v>
      </c>
      <c r="G236" s="9">
        <f t="shared" si="6"/>
        <v>2.5613111129490604E-3</v>
      </c>
      <c r="H236" s="6">
        <f t="shared" si="7"/>
        <v>2561.3111129490603</v>
      </c>
    </row>
    <row r="237" spans="1:8" x14ac:dyDescent="0.25">
      <c r="A237" s="2">
        <f>'Historical Prices'!A235</f>
        <v>45457</v>
      </c>
      <c r="B237" s="3">
        <f>'Historical Prices'!C235/'Historical Prices'!C234-1</f>
        <v>1.0216711590982808E-2</v>
      </c>
      <c r="C237" s="3">
        <f>'Historical Prices'!B235/'Historical Prices'!B234-1</f>
        <v>5.4485047342114346E-3</v>
      </c>
      <c r="D237" s="3">
        <f>'Historical Prices'!D235/'Historical Prices'!D234-1</f>
        <v>-1.5352799722230248E-3</v>
      </c>
      <c r="E237" s="3">
        <f>'Historical Prices'!E235/'Historical Prices'!E234-1</f>
        <v>-3.3804176390901386E-3</v>
      </c>
      <c r="F237" s="3">
        <f>'Historical Prices'!F235/'Historical Prices'!F234-1</f>
        <v>2.3377626084212455E-2</v>
      </c>
      <c r="G237" s="9">
        <f t="shared" si="6"/>
        <v>6.6931701908421936E-3</v>
      </c>
      <c r="H237" s="6">
        <f t="shared" si="7"/>
        <v>6693.1701908421937</v>
      </c>
    </row>
    <row r="238" spans="1:8" x14ac:dyDescent="0.25">
      <c r="A238" s="2">
        <f>'Historical Prices'!A236</f>
        <v>45461</v>
      </c>
      <c r="B238" s="3">
        <f>'Historical Prices'!C236/'Historical Prices'!C235-1</f>
        <v>6.8257657318506748E-3</v>
      </c>
      <c r="C238" s="3">
        <f>'Historical Prices'!B236/'Historical Prices'!B235-1</f>
        <v>9.1866951540209296E-3</v>
      </c>
      <c r="D238" s="3">
        <f>'Historical Prices'!D236/'Historical Prices'!D235-1</f>
        <v>1.5556447017991637E-2</v>
      </c>
      <c r="E238" s="3">
        <f>'Historical Prices'!E236/'Historical Prices'!E235-1</f>
        <v>6.2463061543045484E-3</v>
      </c>
      <c r="F238" s="3">
        <f>'Historical Prices'!F236/'Historical Prices'!F235-1</f>
        <v>1.1370518307245225E-2</v>
      </c>
      <c r="G238" s="9">
        <f t="shared" si="6"/>
        <v>1.002219675672306E-2</v>
      </c>
      <c r="H238" s="6">
        <f t="shared" si="7"/>
        <v>10022.19675672306</v>
      </c>
    </row>
    <row r="239" spans="1:8" x14ac:dyDescent="0.25">
      <c r="A239" s="2">
        <f>'Historical Prices'!A237</f>
        <v>45462</v>
      </c>
      <c r="B239" s="3">
        <f>'Historical Prices'!C237/'Historical Prices'!C236-1</f>
        <v>3.1129382910621395E-2</v>
      </c>
      <c r="C239" s="3">
        <f>'Historical Prices'!B237/'Historical Prices'!B236-1</f>
        <v>2.9155175330819461E-2</v>
      </c>
      <c r="D239" s="3">
        <f>'Historical Prices'!D237/'Historical Prices'!D236-1</f>
        <v>1.9236747784193708E-2</v>
      </c>
      <c r="E239" s="3">
        <f>'Historical Prices'!E237/'Historical Prices'!E236-1</f>
        <v>8.7770865495382377E-3</v>
      </c>
      <c r="F239" s="3">
        <f>'Historical Prices'!F237/'Historical Prices'!F236-1</f>
        <v>-9.4701267405759015E-3</v>
      </c>
      <c r="G239" s="9">
        <f t="shared" si="6"/>
        <v>1.6100836345954318E-2</v>
      </c>
      <c r="H239" s="6">
        <f t="shared" si="7"/>
        <v>16100.836345954318</v>
      </c>
    </row>
    <row r="240" spans="1:8" x14ac:dyDescent="0.25">
      <c r="A240" s="2">
        <f>'Historical Prices'!A238</f>
        <v>45463</v>
      </c>
      <c r="B240" s="3">
        <f>'Historical Prices'!C238/'Historical Prices'!C237-1</f>
        <v>6.9367545350056403E-3</v>
      </c>
      <c r="C240" s="3">
        <f>'Historical Prices'!B238/'Historical Prices'!B237-1</f>
        <v>1.0475663870196605E-2</v>
      </c>
      <c r="D240" s="3">
        <f>'Historical Prices'!D238/'Historical Prices'!D237-1</f>
        <v>1.0791378704155141E-2</v>
      </c>
      <c r="E240" s="3">
        <f>'Historical Prices'!E238/'Historical Prices'!E237-1</f>
        <v>2.6797817610895169E-3</v>
      </c>
      <c r="F240" s="3">
        <f>'Historical Prices'!F238/'Historical Prices'!F237-1</f>
        <v>-2.135424360229965E-2</v>
      </c>
      <c r="G240" s="9">
        <f t="shared" si="6"/>
        <v>2.2239381943384672E-3</v>
      </c>
      <c r="H240" s="6">
        <f t="shared" si="7"/>
        <v>2223.9381943384669</v>
      </c>
    </row>
    <row r="241" spans="1:16" x14ac:dyDescent="0.25">
      <c r="A241" s="2">
        <f>'Historical Prices'!A239</f>
        <v>45464</v>
      </c>
      <c r="B241" s="3">
        <f>'Historical Prices'!C239/'Historical Prices'!C238-1</f>
        <v>-2.1564939254058446E-3</v>
      </c>
      <c r="C241" s="3">
        <f>'Historical Prices'!B239/'Historical Prices'!B238-1</f>
        <v>-1.653951882774507E-3</v>
      </c>
      <c r="D241" s="3">
        <f>'Historical Prices'!D239/'Historical Prices'!D238-1</f>
        <v>1.5992242042905946E-3</v>
      </c>
      <c r="E241" s="3">
        <f>'Historical Prices'!E239/'Historical Prices'!E238-1</f>
        <v>1.141615766459636E-2</v>
      </c>
      <c r="F241" s="3">
        <f>'Historical Prices'!F239/'Historical Prices'!F238-1</f>
        <v>-1.0884055079174781E-2</v>
      </c>
      <c r="G241" s="9">
        <f t="shared" si="6"/>
        <v>-3.9139399317343073E-4</v>
      </c>
      <c r="H241" s="6">
        <f t="shared" si="7"/>
        <v>-391.39399317343072</v>
      </c>
    </row>
    <row r="242" spans="1:16" x14ac:dyDescent="0.25">
      <c r="A242" s="2">
        <f>'Historical Prices'!A240</f>
        <v>45467</v>
      </c>
      <c r="B242" s="3">
        <f>'Historical Prices'!C240/'Historical Prices'!C239-1</f>
        <v>3.9921408996590468E-3</v>
      </c>
      <c r="C242" s="3">
        <f>'Historical Prices'!B240/'Historical Prices'!B239-1</f>
        <v>-7.5557771421997932E-3</v>
      </c>
      <c r="D242" s="3">
        <f>'Historical Prices'!D240/'Historical Prices'!D239-1</f>
        <v>9.8821675113449636E-3</v>
      </c>
      <c r="E242" s="3">
        <f>'Historical Prices'!E240/'Historical Prices'!E239-1</f>
        <v>-3.6210766197853905E-3</v>
      </c>
      <c r="F242" s="3">
        <f>'Historical Prices'!F240/'Historical Prices'!F239-1</f>
        <v>2.6708444516344132E-2</v>
      </c>
      <c r="G242" s="9">
        <f t="shared" si="6"/>
        <v>6.1896455021462132E-3</v>
      </c>
      <c r="H242" s="6">
        <f t="shared" si="7"/>
        <v>6189.6455021462134</v>
      </c>
    </row>
    <row r="243" spans="1:16" x14ac:dyDescent="0.25">
      <c r="A243" s="2">
        <f>'Historical Prices'!A241</f>
        <v>45468</v>
      </c>
      <c r="B243" s="3">
        <f>'Historical Prices'!C241/'Historical Prices'!C240-1</f>
        <v>2.3289908110065705E-2</v>
      </c>
      <c r="C243" s="3">
        <f>'Historical Prices'!B241/'Historical Prices'!B240-1</f>
        <v>3.5298315261485858E-2</v>
      </c>
      <c r="D243" s="3">
        <f>'Historical Prices'!D241/'Historical Prices'!D240-1</f>
        <v>2.3801348861793414E-2</v>
      </c>
      <c r="E243" s="3">
        <f>'Historical Prices'!E241/'Historical Prices'!E240-1</f>
        <v>9.6912689035659749E-3</v>
      </c>
      <c r="F243" s="3">
        <f>'Historical Prices'!F241/'Historical Prices'!F240-1</f>
        <v>-2.1950969524063835E-3</v>
      </c>
      <c r="G243" s="9">
        <f t="shared" si="6"/>
        <v>1.8195456136503103E-2</v>
      </c>
      <c r="H243" s="6">
        <f t="shared" si="7"/>
        <v>18195.456136503104</v>
      </c>
    </row>
    <row r="244" spans="1:16" x14ac:dyDescent="0.25">
      <c r="A244" s="2">
        <f>'Historical Prices'!A242</f>
        <v>45469</v>
      </c>
      <c r="B244" s="3">
        <f>'Historical Prices'!C242/'Historical Prices'!C241-1</f>
        <v>-5.7556398384431828E-3</v>
      </c>
      <c r="C244" s="3">
        <f>'Historical Prices'!B242/'Historical Prices'!B241-1</f>
        <v>1.0971740826126508E-2</v>
      </c>
      <c r="D244" s="3">
        <f>'Historical Prices'!D242/'Historical Prices'!D241-1</f>
        <v>1.6736949670295154E-2</v>
      </c>
      <c r="E244" s="3">
        <f>'Historical Prices'!E242/'Historical Prices'!E241-1</f>
        <v>-8.1062741382764703E-4</v>
      </c>
      <c r="F244" s="3">
        <f>'Historical Prices'!F242/'Historical Prices'!F241-1</f>
        <v>-1.990093530865733E-2</v>
      </c>
      <c r="G244" s="9">
        <f t="shared" si="6"/>
        <v>6.3673807169168858E-4</v>
      </c>
      <c r="H244" s="6">
        <f t="shared" si="7"/>
        <v>636.73807169168856</v>
      </c>
    </row>
    <row r="245" spans="1:16" x14ac:dyDescent="0.25">
      <c r="A245" s="2">
        <f>'Historical Prices'!A243</f>
        <v>45470</v>
      </c>
      <c r="B245" s="3">
        <f>'Historical Prices'!C243/'Historical Prices'!C242-1</f>
        <v>-3.144349594908169E-3</v>
      </c>
      <c r="C245" s="3">
        <f>'Historical Prices'!B243/'Historical Prices'!B242-1</f>
        <v>2.7617877177934513E-3</v>
      </c>
      <c r="D245" s="3">
        <f>'Historical Prices'!D243/'Historical Prices'!D242-1</f>
        <v>1.5599585572447783E-3</v>
      </c>
      <c r="E245" s="3">
        <f>'Historical Prices'!E243/'Historical Prices'!E242-1</f>
        <v>2.119169304783064E-2</v>
      </c>
      <c r="F245" s="3">
        <f>'Historical Prices'!F243/'Historical Prices'!F242-1</f>
        <v>1.3133475599401478E-2</v>
      </c>
      <c r="G245" s="9">
        <f t="shared" si="6"/>
        <v>6.6408253638202339E-3</v>
      </c>
      <c r="H245" s="6">
        <f t="shared" si="7"/>
        <v>6640.8253638202341</v>
      </c>
    </row>
    <row r="246" spans="1:16" x14ac:dyDescent="0.25">
      <c r="A246" s="2">
        <f>'Historical Prices'!A244</f>
        <v>45471</v>
      </c>
      <c r="B246" s="3">
        <f>'Historical Prices'!C244/'Historical Prices'!C243-1</f>
        <v>-7.2811383836713928E-3</v>
      </c>
      <c r="C246" s="3">
        <f>'Historical Prices'!B244/'Historical Prices'!B243-1</f>
        <v>-1.8387093283127931E-2</v>
      </c>
      <c r="D246" s="3">
        <f>'Historical Prices'!D244/'Historical Prices'!D243-1</f>
        <v>-1.6640820671872447E-2</v>
      </c>
      <c r="E246" s="3">
        <f>'Historical Prices'!E244/'Historical Prices'!E243-1</f>
        <v>-4.1948575810276667E-3</v>
      </c>
      <c r="F246" s="3">
        <f>'Historical Prices'!F244/'Historical Prices'!F243-1</f>
        <v>-7.7191257946962466E-3</v>
      </c>
      <c r="G246" s="9">
        <f t="shared" si="6"/>
        <v>-1.0977635037784053E-2</v>
      </c>
      <c r="H246" s="6">
        <f t="shared" si="7"/>
        <v>-10977.635037784054</v>
      </c>
    </row>
    <row r="247" spans="1:16" x14ac:dyDescent="0.25">
      <c r="A247" s="2">
        <f>'Historical Prices'!A245</f>
        <v>45474</v>
      </c>
      <c r="B247" s="3">
        <f>'Historical Prices'!C245/'Historical Prices'!C244-1</f>
        <v>1.2709237839357179E-2</v>
      </c>
      <c r="C247" s="3">
        <f>'Historical Prices'!B245/'Historical Prices'!B244-1</f>
        <v>-2.6476492139929642E-3</v>
      </c>
      <c r="D247" s="3">
        <f>'Historical Prices'!D245/'Historical Prices'!D244-1</f>
        <v>1.0211715687762357E-2</v>
      </c>
      <c r="E247" s="3">
        <f>'Historical Prices'!E245/'Historical Prices'!E244-1</f>
        <v>1.5350174827145624E-2</v>
      </c>
      <c r="F247" s="3">
        <f>'Historical Prices'!F245/'Historical Prices'!F244-1</f>
        <v>3.2093681461429213E-3</v>
      </c>
      <c r="G247" s="9">
        <f t="shared" si="6"/>
        <v>7.9639074834889807E-3</v>
      </c>
      <c r="H247" s="6">
        <f t="shared" si="7"/>
        <v>7963.9074834889807</v>
      </c>
    </row>
    <row r="248" spans="1:16" x14ac:dyDescent="0.25">
      <c r="A248" s="2">
        <f>'Historical Prices'!A246</f>
        <v>45475</v>
      </c>
      <c r="B248" s="3">
        <f>'Historical Prices'!C246/'Historical Prices'!C245-1</f>
        <v>1.4895657674093732E-2</v>
      </c>
      <c r="C248" s="3">
        <f>'Historical Prices'!B246/'Historical Prices'!B245-1</f>
        <v>-6.7358438917152208E-3</v>
      </c>
      <c r="D248" s="3">
        <f>'Historical Prices'!D246/'Historical Prices'!D245-1</f>
        <v>-1.7535094710057098E-2</v>
      </c>
      <c r="E248" s="3">
        <f>'Historical Prices'!E246/'Historical Prices'!E245-1</f>
        <v>1.9015680409610658E-2</v>
      </c>
      <c r="F248" s="3">
        <f>'Historical Prices'!F246/'Historical Prices'!F245-1</f>
        <v>-3.7206992970444386E-3</v>
      </c>
      <c r="G248" s="9">
        <f t="shared" si="6"/>
        <v>6.8074126366308334E-4</v>
      </c>
      <c r="H248" s="6">
        <f t="shared" si="7"/>
        <v>680.74126366308337</v>
      </c>
    </row>
    <row r="249" spans="1:16" x14ac:dyDescent="0.25">
      <c r="A249" s="2">
        <f>'Historical Prices'!A247</f>
        <v>45476</v>
      </c>
      <c r="B249" s="3">
        <f>'Historical Prices'!C247/'Historical Prices'!C246-1</f>
        <v>2.198662685196151E-2</v>
      </c>
      <c r="C249" s="3">
        <f>'Historical Prices'!B247/'Historical Prices'!B246-1</f>
        <v>2.1222218599248999E-2</v>
      </c>
      <c r="D249" s="3">
        <f>'Historical Prices'!D247/'Historical Prices'!D246-1</f>
        <v>9.2389783434609907E-3</v>
      </c>
      <c r="E249" s="3">
        <f>'Historical Prices'!E247/'Historical Prices'!E246-1</f>
        <v>3.9172077391467219E-3</v>
      </c>
      <c r="F249" s="3">
        <f>'Historical Prices'!F247/'Historical Prices'!F246-1</f>
        <v>4.4675417967008357E-3</v>
      </c>
      <c r="G249" s="9">
        <f t="shared" si="6"/>
        <v>1.2229003105357813E-2</v>
      </c>
      <c r="H249" s="6">
        <f t="shared" si="7"/>
        <v>12229.003105357813</v>
      </c>
    </row>
    <row r="250" spans="1:16" x14ac:dyDescent="0.25">
      <c r="A250" s="2">
        <f>'Historical Prices'!A248</f>
        <v>45477</v>
      </c>
      <c r="B250" s="3">
        <f>'Historical Prices'!C248/'Historical Prices'!C247-1</f>
        <v>-2.3464200802747359E-2</v>
      </c>
      <c r="C250" s="3">
        <f>'Historical Prices'!B248/'Historical Prices'!B247-1</f>
        <v>7.0320617467789504E-4</v>
      </c>
      <c r="D250" s="3">
        <f>'Historical Prices'!D248/'Historical Prices'!D247-1</f>
        <v>2.6131854529187759E-2</v>
      </c>
      <c r="E250" s="3">
        <f>'Historical Prices'!E248/'Historical Prices'!E247-1</f>
        <v>1.4286543053500411E-2</v>
      </c>
      <c r="F250" s="3">
        <f>'Historical Prices'!F248/'Historical Prices'!F247-1</f>
        <v>8.6346474116729688E-3</v>
      </c>
      <c r="G250" s="9">
        <f t="shared" si="6"/>
        <v>5.4476699591359205E-3</v>
      </c>
      <c r="H250" s="6">
        <f t="shared" si="7"/>
        <v>5447.6699591359202</v>
      </c>
    </row>
    <row r="251" spans="1:16" x14ac:dyDescent="0.25">
      <c r="A251" s="2">
        <f>'Historical Prices'!A249</f>
        <v>45478</v>
      </c>
      <c r="B251" s="3">
        <f>'Historical Prices'!C249/'Historical Prices'!C248-1</f>
        <v>-4.5769166325820509E-2</v>
      </c>
      <c r="C251" s="3">
        <f>'Historical Prices'!B249/'Historical Prices'!B248-1</f>
        <v>4.8012923175979605E-3</v>
      </c>
      <c r="D251" s="3">
        <f>'Historical Prices'!D249/'Historical Prices'!D248-1</f>
        <v>3.2441172343022906E-4</v>
      </c>
      <c r="E251" s="3">
        <f>'Historical Prices'!E249/'Historical Prices'!E248-1</f>
        <v>-1.9386265498447797E-3</v>
      </c>
      <c r="F251" s="3">
        <f>'Historical Prices'!F249/'Historical Prices'!F248-1</f>
        <v>-3.81784726229073E-4</v>
      </c>
      <c r="G251" s="9">
        <f t="shared" si="6"/>
        <v>-9.1079699110941138E-3</v>
      </c>
      <c r="H251" s="6">
        <f t="shared" si="7"/>
        <v>-9107.9699110941147</v>
      </c>
    </row>
    <row r="252" spans="1:16" x14ac:dyDescent="0.25">
      <c r="A252" s="2">
        <f>'Historical Prices'!A250</f>
        <v>45481</v>
      </c>
      <c r="B252" s="3">
        <f>'Historical Prices'!C250/'Historical Prices'!C249-1</f>
        <v>-7.7361613231309301E-3</v>
      </c>
      <c r="C252" s="3">
        <f>'Historical Prices'!B250/'Historical Prices'!B249-1</f>
        <v>6.2148974047504524E-4</v>
      </c>
      <c r="D252" s="3">
        <f>'Historical Prices'!D250/'Historical Prices'!D249-1</f>
        <v>1.3378024130352717E-3</v>
      </c>
      <c r="E252" s="3">
        <f>'Historical Prices'!E250/'Historical Prices'!E249-1</f>
        <v>8.6194882130592454E-3</v>
      </c>
      <c r="F252" s="3">
        <f>'Historical Prices'!F250/'Historical Prices'!F249-1</f>
        <v>-1.0154137980868616E-2</v>
      </c>
      <c r="G252" s="9">
        <f t="shared" si="6"/>
        <v>-1.5808377857115326E-3</v>
      </c>
      <c r="H252" s="6">
        <f t="shared" si="7"/>
        <v>-1580.8377857115327</v>
      </c>
    </row>
    <row r="253" spans="1:16" x14ac:dyDescent="0.25">
      <c r="A253" s="2">
        <f>'Historical Prices'!A251</f>
        <v>45482</v>
      </c>
      <c r="B253" s="3">
        <f>'Historical Prices'!C251/'Historical Prices'!C250-1</f>
        <v>7.0329631792653835E-4</v>
      </c>
      <c r="C253" s="3">
        <f>'Historical Prices'!B251/'Historical Prices'!B250-1</f>
        <v>1.2036319508605953E-3</v>
      </c>
      <c r="D253" s="3">
        <f>'Historical Prices'!D251/'Historical Prices'!D250-1</f>
        <v>1.0687816794524574E-2</v>
      </c>
      <c r="E253" s="3">
        <f>'Historical Prices'!E251/'Historical Prices'!E250-1</f>
        <v>-2.7082706473108287E-3</v>
      </c>
      <c r="F253" s="3">
        <f>'Historical Prices'!F251/'Historical Prices'!F250-1</f>
        <v>2.6005264424838082E-2</v>
      </c>
      <c r="G253" s="9">
        <f t="shared" si="6"/>
        <v>7.3270241492005162E-3</v>
      </c>
      <c r="H253" s="6">
        <f t="shared" si="7"/>
        <v>7327.0241492005161</v>
      </c>
    </row>
    <row r="254" spans="1:16" x14ac:dyDescent="0.25">
      <c r="A254" s="2">
        <f>'Historical Prices'!A252</f>
        <v>45483</v>
      </c>
      <c r="B254" s="3">
        <f>'Historical Prices'!C252/'Historical Prices'!C251-1</f>
        <v>-6.3549596805274611E-3</v>
      </c>
      <c r="C254" s="3">
        <f>'Historical Prices'!B252/'Historical Prices'!B251-1</f>
        <v>1.7450092431967601E-3</v>
      </c>
      <c r="D254" s="3">
        <f>'Historical Prices'!D252/'Historical Prices'!D251-1</f>
        <v>-4.0456478013111141E-3</v>
      </c>
      <c r="E254" s="3">
        <f>'Historical Prices'!E252/'Historical Prices'!E251-1</f>
        <v>-5.3706734880818452E-3</v>
      </c>
      <c r="F254" s="3">
        <f>'Historical Prices'!F252/'Historical Prices'!F251-1</f>
        <v>-6.6142533620281219E-2</v>
      </c>
      <c r="G254" s="9">
        <f t="shared" si="6"/>
        <v>-1.5692811964522123E-2</v>
      </c>
      <c r="H254" s="6">
        <f t="shared" si="7"/>
        <v>-15692.811964522123</v>
      </c>
    </row>
    <row r="255" spans="1:16" x14ac:dyDescent="0.25">
      <c r="A255" s="2">
        <f>'Historical Prices'!A253</f>
        <v>45484</v>
      </c>
      <c r="B255" s="3">
        <f>'Historical Prices'!C253/'Historical Prices'!C252-1</f>
        <v>-2.5829291093619755E-3</v>
      </c>
      <c r="C255" s="3">
        <f>'Historical Prices'!B253/'Historical Prices'!B252-1</f>
        <v>3.948419968874628E-3</v>
      </c>
      <c r="D255" s="3">
        <f>'Historical Prices'!D253/'Historical Prices'!D252-1</f>
        <v>-3.8208445108002254E-3</v>
      </c>
      <c r="E255" s="3">
        <f>'Historical Prices'!E253/'Historical Prices'!E252-1</f>
        <v>2.699797290653505E-3</v>
      </c>
      <c r="F255" s="3">
        <f>'Historical Prices'!F253/'Historical Prices'!F252-1</f>
        <v>-1.2426769699825702E-2</v>
      </c>
      <c r="G255" s="9">
        <f t="shared" si="6"/>
        <v>-2.588672165364631E-3</v>
      </c>
      <c r="H255" s="6">
        <f t="shared" si="7"/>
        <v>-2588.6721653646309</v>
      </c>
      <c r="I255" s="9">
        <f>-_xlfn.PERCENTILE.INC(G5:G254, 0.05)</f>
        <v>1.1878031356316293E-2</v>
      </c>
      <c r="J255">
        <f>--($G255&lt;-I255)</f>
        <v>0</v>
      </c>
      <c r="K255" s="5">
        <f>_xlfn.NORM.S.INV(0.95)*_xlfn.STDEV.S($G5:$G254)-AVERAGE($G5:$G254)</f>
        <v>1.4578112830939779E-2</v>
      </c>
      <c r="L255">
        <f>--($G255&lt;-K255)</f>
        <v>0</v>
      </c>
      <c r="M255" s="9">
        <f>-_xlfn.PERCENTILE.INC(G5:G244, 0.01)</f>
        <v>2.0786426398744336E-2</v>
      </c>
      <c r="N255">
        <f>--($G255&lt;-M255)</f>
        <v>0</v>
      </c>
      <c r="O255" s="5">
        <f>_xlfn.NORM.S.INV(0.99)*_xlfn.STDEV.S($G5:$G254)-AVERAGE($G5:$G254)</f>
        <v>2.1119482613182063E-2</v>
      </c>
      <c r="P255">
        <f>--($G255&lt;-O255)</f>
        <v>0</v>
      </c>
    </row>
    <row r="256" spans="1:16" x14ac:dyDescent="0.25">
      <c r="A256" s="2">
        <f>'Historical Prices'!A254</f>
        <v>45485</v>
      </c>
      <c r="B256" s="3">
        <f>'Historical Prices'!C254/'Historical Prices'!C253-1</f>
        <v>4.9324947652817919E-4</v>
      </c>
      <c r="C256" s="3">
        <f>'Historical Prices'!B254/'Historical Prices'!B253-1</f>
        <v>1.663130156440884E-2</v>
      </c>
      <c r="D256" s="3">
        <f>'Historical Prices'!D254/'Historical Prices'!D253-1</f>
        <v>-4.4813665349271448E-3</v>
      </c>
      <c r="E256" s="3">
        <f>'Historical Prices'!E254/'Historical Prices'!E253-1</f>
        <v>3.5729389384056454E-2</v>
      </c>
      <c r="F256" s="3">
        <f>'Historical Prices'!F254/'Historical Prices'!F253-1</f>
        <v>2.1867046073986707E-3</v>
      </c>
      <c r="G256" s="9">
        <f t="shared" si="6"/>
        <v>9.1491620070974777E-3</v>
      </c>
      <c r="H256" s="6">
        <f t="shared" si="7"/>
        <v>9149.1620070974786</v>
      </c>
      <c r="I256" s="9">
        <f t="shared" ref="I256:I319" si="8">-_xlfn.PERCENTILE.INC(G6:G255, 0.05)</f>
        <v>1.1878031356316293E-2</v>
      </c>
      <c r="J256">
        <f t="shared" ref="J256:J319" si="9">--($G256&lt;-I256)</f>
        <v>0</v>
      </c>
      <c r="K256" s="5">
        <f t="shared" ref="K256:K319" si="10">_xlfn.NORM.S.INV(0.95)*_xlfn.STDEV.S($G6:$G255)-AVERAGE($G6:$G255)</f>
        <v>1.4595387115060181E-2</v>
      </c>
      <c r="L256">
        <f t="shared" ref="L256:L319" si="11">--($G256&lt;-K256)</f>
        <v>0</v>
      </c>
      <c r="M256" s="9">
        <f t="shared" ref="M256:M319" si="12">-_xlfn.PERCENTILE.INC(G6:G245, 0.01)</f>
        <v>2.0786426398744336E-2</v>
      </c>
      <c r="N256">
        <f t="shared" ref="N256:N319" si="13">--($G256&lt;-M256)</f>
        <v>0</v>
      </c>
      <c r="O256" s="5">
        <f t="shared" ref="O256:O319" si="14">_xlfn.NORM.S.INV(0.99)*_xlfn.STDEV.S($G6:$G255)-AVERAGE($G6:$G255)</f>
        <v>2.1138742807852492E-2</v>
      </c>
      <c r="P256">
        <f t="shared" ref="P256:P319" si="15">--($G256&lt;-O256)</f>
        <v>0</v>
      </c>
    </row>
    <row r="257" spans="1:16" x14ac:dyDescent="0.25">
      <c r="A257" s="2">
        <f>'Historical Prices'!A255</f>
        <v>45488</v>
      </c>
      <c r="B257" s="3">
        <f>'Historical Prices'!C255/'Historical Prices'!C254-1</f>
        <v>-3.6977410220306872E-4</v>
      </c>
      <c r="C257" s="3">
        <f>'Historical Prices'!B255/'Historical Prices'!B254-1</f>
        <v>-7.4774930808990669E-3</v>
      </c>
      <c r="D257" s="3">
        <f>'Historical Prices'!D255/'Historical Prices'!D254-1</f>
        <v>-2.3927431423015344E-3</v>
      </c>
      <c r="E257" s="3">
        <f>'Historical Prices'!E255/'Historical Prices'!E254-1</f>
        <v>-2.7456116113501183E-3</v>
      </c>
      <c r="F257" s="3">
        <f>'Historical Prices'!F255/'Historical Prices'!F254-1</f>
        <v>1.0022417148797036E-2</v>
      </c>
      <c r="G257" s="9">
        <f t="shared" si="6"/>
        <v>-5.7261334575799713E-4</v>
      </c>
      <c r="H257" s="6">
        <f t="shared" si="7"/>
        <v>-572.61334575799708</v>
      </c>
      <c r="I257" s="9">
        <f t="shared" si="8"/>
        <v>1.1878031356316293E-2</v>
      </c>
      <c r="J257">
        <f t="shared" si="9"/>
        <v>0</v>
      </c>
      <c r="K257" s="5">
        <f t="shared" si="10"/>
        <v>1.4565356948005169E-2</v>
      </c>
      <c r="L257">
        <f t="shared" si="11"/>
        <v>0</v>
      </c>
      <c r="M257" s="9">
        <f t="shared" si="12"/>
        <v>2.0786426398744336E-2</v>
      </c>
      <c r="N257">
        <f t="shared" si="13"/>
        <v>0</v>
      </c>
      <c r="O257" s="5">
        <f t="shared" si="14"/>
        <v>2.1115647995416348E-2</v>
      </c>
      <c r="P257">
        <f t="shared" si="15"/>
        <v>0</v>
      </c>
    </row>
    <row r="258" spans="1:16" x14ac:dyDescent="0.25">
      <c r="A258" s="2">
        <f>'Historical Prices'!A256</f>
        <v>45489</v>
      </c>
      <c r="B258" s="3">
        <f>'Historical Prices'!C256/'Historical Prices'!C255-1</f>
        <v>-1.4487853300366726E-3</v>
      </c>
      <c r="C258" s="3">
        <f>'Historical Prices'!B256/'Historical Prices'!B255-1</f>
        <v>-2.6386771377086005E-3</v>
      </c>
      <c r="D258" s="3">
        <f>'Historical Prices'!D256/'Historical Prices'!D255-1</f>
        <v>8.0897145014879879E-3</v>
      </c>
      <c r="E258" s="3">
        <f>'Historical Prices'!E256/'Historical Prices'!E255-1</f>
        <v>1.1130295650522815E-2</v>
      </c>
      <c r="F258" s="3">
        <f>'Historical Prices'!F256/'Historical Prices'!F255-1</f>
        <v>9.4102122046468839E-3</v>
      </c>
      <c r="G258" s="9">
        <f t="shared" si="6"/>
        <v>4.9202665472731361E-3</v>
      </c>
      <c r="H258" s="6">
        <f t="shared" si="7"/>
        <v>4920.266547273136</v>
      </c>
      <c r="I258" s="9">
        <f t="shared" si="8"/>
        <v>1.1878031356316293E-2</v>
      </c>
      <c r="J258">
        <f t="shared" si="9"/>
        <v>0</v>
      </c>
      <c r="K258" s="5">
        <f t="shared" si="10"/>
        <v>1.4575165872334853E-2</v>
      </c>
      <c r="L258">
        <f t="shared" si="11"/>
        <v>0</v>
      </c>
      <c r="M258" s="9">
        <f t="shared" si="12"/>
        <v>2.0786426398744336E-2</v>
      </c>
      <c r="N258">
        <f t="shared" si="13"/>
        <v>0</v>
      </c>
      <c r="O258" s="5">
        <f t="shared" si="14"/>
        <v>2.1107948758142515E-2</v>
      </c>
      <c r="P258">
        <f t="shared" si="15"/>
        <v>0</v>
      </c>
    </row>
    <row r="259" spans="1:16" x14ac:dyDescent="0.25">
      <c r="A259" s="2">
        <f>'Historical Prices'!A257</f>
        <v>45491</v>
      </c>
      <c r="B259" s="3">
        <f>'Historical Prices'!C257/'Historical Prices'!C256-1</f>
        <v>-3.0559014023976427E-3</v>
      </c>
      <c r="C259" s="3">
        <f>'Historical Prices'!B257/'Historical Prices'!B256-1</f>
        <v>4.1412014097306216E-3</v>
      </c>
      <c r="D259" s="3">
        <f>'Historical Prices'!D257/'Historical Prices'!D256-1</f>
        <v>8.387867133795357E-3</v>
      </c>
      <c r="E259" s="3">
        <f>'Historical Prices'!E257/'Historical Prices'!E256-1</f>
        <v>1.8539328801496113E-2</v>
      </c>
      <c r="F259" s="3">
        <f>'Historical Prices'!F257/'Historical Prices'!F256-1</f>
        <v>2.2744205561250341E-2</v>
      </c>
      <c r="G259" s="9">
        <f t="shared" si="6"/>
        <v>9.8368997246000428E-3</v>
      </c>
      <c r="H259" s="6">
        <f t="shared" si="7"/>
        <v>9836.8997246000436</v>
      </c>
      <c r="I259" s="9">
        <f t="shared" si="8"/>
        <v>1.1878031356316293E-2</v>
      </c>
      <c r="J259">
        <f t="shared" si="9"/>
        <v>0</v>
      </c>
      <c r="K259" s="5">
        <f t="shared" si="10"/>
        <v>1.4522674072548831E-2</v>
      </c>
      <c r="L259">
        <f t="shared" si="11"/>
        <v>0</v>
      </c>
      <c r="M259" s="9">
        <f t="shared" si="12"/>
        <v>2.0786426398744336E-2</v>
      </c>
      <c r="N259">
        <f t="shared" si="13"/>
        <v>0</v>
      </c>
      <c r="O259" s="5">
        <f t="shared" si="14"/>
        <v>2.1050980536440545E-2</v>
      </c>
      <c r="P259">
        <f t="shared" si="15"/>
        <v>0</v>
      </c>
    </row>
    <row r="260" spans="1:16" x14ac:dyDescent="0.25">
      <c r="A260" s="2">
        <f>'Historical Prices'!A258</f>
        <v>45492</v>
      </c>
      <c r="B260" s="3">
        <f>'Historical Prices'!C258/'Historical Prices'!C257-1</f>
        <v>-4.6445941161361581E-3</v>
      </c>
      <c r="C260" s="3">
        <f>'Historical Prices'!B258/'Historical Prices'!B257-1</f>
        <v>-1.3021343263498908E-2</v>
      </c>
      <c r="D260" s="3">
        <f>'Historical Prices'!D258/'Historical Prices'!D257-1</f>
        <v>-1.3196195108755582E-3</v>
      </c>
      <c r="E260" s="3">
        <f>'Historical Prices'!E258/'Historical Prices'!E257-1</f>
        <v>1.9851584765022467E-2</v>
      </c>
      <c r="F260" s="3">
        <f>'Historical Prices'!F258/'Historical Prices'!F257-1</f>
        <v>-2.4880735084322092E-2</v>
      </c>
      <c r="G260" s="9">
        <f t="shared" si="6"/>
        <v>-4.8221181262554716E-3</v>
      </c>
      <c r="H260" s="6">
        <f t="shared" si="7"/>
        <v>-4822.1181262554719</v>
      </c>
      <c r="I260" s="9">
        <f t="shared" si="8"/>
        <v>1.1878031356316293E-2</v>
      </c>
      <c r="J260">
        <f t="shared" si="9"/>
        <v>0</v>
      </c>
      <c r="K260" s="5">
        <f t="shared" si="10"/>
        <v>1.4482180194982272E-2</v>
      </c>
      <c r="L260">
        <f t="shared" si="11"/>
        <v>0</v>
      </c>
      <c r="M260" s="9">
        <f t="shared" si="12"/>
        <v>2.0786426398744336E-2</v>
      </c>
      <c r="N260">
        <f t="shared" si="13"/>
        <v>0</v>
      </c>
      <c r="O260" s="5">
        <f t="shared" si="14"/>
        <v>2.1016844924001878E-2</v>
      </c>
      <c r="P260">
        <f t="shared" si="15"/>
        <v>0</v>
      </c>
    </row>
    <row r="261" spans="1:16" x14ac:dyDescent="0.25">
      <c r="A261" s="2">
        <f>'Historical Prices'!A259</f>
        <v>45495</v>
      </c>
      <c r="B261" s="3">
        <f>'Historical Prices'!C259/'Historical Prices'!C258-1</f>
        <v>2.1931181188015181E-2</v>
      </c>
      <c r="C261" s="3">
        <f>'Historical Prices'!B259/'Historical Prices'!B258-1</f>
        <v>-7.6216640732570395E-3</v>
      </c>
      <c r="D261" s="3">
        <f>'Historical Prices'!D259/'Historical Prices'!D258-1</f>
        <v>-6.006606315027585E-3</v>
      </c>
      <c r="E261" s="3">
        <f>'Historical Prices'!E259/'Historical Prices'!E258-1</f>
        <v>9.9835575075466476E-3</v>
      </c>
      <c r="F261" s="3">
        <f>'Historical Prices'!F259/'Historical Prices'!F258-1</f>
        <v>2.0168817010942419E-2</v>
      </c>
      <c r="G261" s="9">
        <f t="shared" si="6"/>
        <v>7.5744764972145804E-3</v>
      </c>
      <c r="H261" s="6">
        <f t="shared" si="7"/>
        <v>7574.4764972145804</v>
      </c>
      <c r="I261" s="9">
        <f t="shared" si="8"/>
        <v>1.1878031356316293E-2</v>
      </c>
      <c r="J261">
        <f t="shared" si="9"/>
        <v>0</v>
      </c>
      <c r="K261" s="5">
        <f t="shared" si="10"/>
        <v>1.4518317677015939E-2</v>
      </c>
      <c r="L261">
        <f t="shared" si="11"/>
        <v>0</v>
      </c>
      <c r="M261" s="9">
        <f t="shared" si="12"/>
        <v>2.0786426398744336E-2</v>
      </c>
      <c r="N261">
        <f t="shared" si="13"/>
        <v>0</v>
      </c>
      <c r="O261" s="5">
        <f t="shared" si="14"/>
        <v>2.1058281372154649E-2</v>
      </c>
      <c r="P261">
        <f t="shared" si="15"/>
        <v>0</v>
      </c>
    </row>
    <row r="262" spans="1:16" x14ac:dyDescent="0.25">
      <c r="A262" s="2">
        <f>'Historical Prices'!A260</f>
        <v>45496</v>
      </c>
      <c r="B262" s="3">
        <f>'Historical Prices'!C260/'Historical Prices'!C259-1</f>
        <v>-1.4702720549230719E-2</v>
      </c>
      <c r="C262" s="3">
        <f>'Historical Prices'!B260/'Historical Prices'!B259-1</f>
        <v>-1.5009848243618285E-2</v>
      </c>
      <c r="D262" s="3">
        <f>'Historical Prices'!D260/'Historical Prices'!D259-1</f>
        <v>-1.1602133086018984E-2</v>
      </c>
      <c r="E262" s="3">
        <f>'Historical Prices'!E260/'Historical Prices'!E259-1</f>
        <v>1.4385544261362959E-2</v>
      </c>
      <c r="F262" s="3">
        <f>'Historical Prices'!F260/'Historical Prices'!F259-1</f>
        <v>5.9184682454449522E-3</v>
      </c>
      <c r="G262" s="9">
        <f t="shared" ref="G262:G325" si="16">SUMPRODUCT(B262:F262, $B$2:$F$2)</f>
        <v>-4.7142529442596821E-3</v>
      </c>
      <c r="H262" s="6">
        <f t="shared" ref="H262:H325" si="17">G262*1000000</f>
        <v>-4714.2529442596824</v>
      </c>
      <c r="I262" s="9">
        <f t="shared" si="8"/>
        <v>1.1878031356316293E-2</v>
      </c>
      <c r="J262">
        <f t="shared" si="9"/>
        <v>0</v>
      </c>
      <c r="K262" s="5">
        <f t="shared" si="10"/>
        <v>1.4470924902791636E-2</v>
      </c>
      <c r="L262">
        <f t="shared" si="11"/>
        <v>0</v>
      </c>
      <c r="M262" s="9">
        <f t="shared" si="12"/>
        <v>2.0786426398744336E-2</v>
      </c>
      <c r="N262">
        <f t="shared" si="13"/>
        <v>0</v>
      </c>
      <c r="O262" s="5">
        <f t="shared" si="14"/>
        <v>2.1011499096640539E-2</v>
      </c>
      <c r="P262">
        <f t="shared" si="15"/>
        <v>0</v>
      </c>
    </row>
    <row r="263" spans="1:16" x14ac:dyDescent="0.25">
      <c r="A263" s="2">
        <f>'Historical Prices'!A261</f>
        <v>45497</v>
      </c>
      <c r="B263" s="3">
        <f>'Historical Prices'!C261/'Historical Prices'!C260-1</f>
        <v>-8.8667624784722898E-3</v>
      </c>
      <c r="C263" s="3">
        <f>'Historical Prices'!B261/'Historical Prices'!B260-1</f>
        <v>-1.8998544194738121E-2</v>
      </c>
      <c r="D263" s="3">
        <f>'Historical Prices'!D261/'Historical Prices'!D260-1</f>
        <v>-3.0568676102581405E-3</v>
      </c>
      <c r="E263" s="3">
        <f>'Historical Prices'!E261/'Historical Prices'!E260-1</f>
        <v>-1.6060397330994736E-3</v>
      </c>
      <c r="F263" s="3">
        <f>'Historical Prices'!F261/'Historical Prices'!F260-1</f>
        <v>-5.6178022294567365E-3</v>
      </c>
      <c r="G263" s="9">
        <f t="shared" si="16"/>
        <v>-7.4435856919533722E-3</v>
      </c>
      <c r="H263" s="6">
        <f t="shared" si="17"/>
        <v>-7443.5856919533726</v>
      </c>
      <c r="I263" s="9">
        <f t="shared" si="8"/>
        <v>1.1878031356316293E-2</v>
      </c>
      <c r="J263">
        <f t="shared" si="9"/>
        <v>0</v>
      </c>
      <c r="K263" s="5">
        <f t="shared" si="10"/>
        <v>1.4516688435987721E-2</v>
      </c>
      <c r="L263">
        <f t="shared" si="11"/>
        <v>0</v>
      </c>
      <c r="M263" s="9">
        <f t="shared" si="12"/>
        <v>2.0786426398744336E-2</v>
      </c>
      <c r="N263">
        <f t="shared" si="13"/>
        <v>0</v>
      </c>
      <c r="O263" s="5">
        <f t="shared" si="14"/>
        <v>2.1052407784302257E-2</v>
      </c>
      <c r="P263">
        <f t="shared" si="15"/>
        <v>0</v>
      </c>
    </row>
    <row r="264" spans="1:16" x14ac:dyDescent="0.25">
      <c r="A264" s="2">
        <f>'Historical Prices'!A262</f>
        <v>45498</v>
      </c>
      <c r="B264" s="3">
        <f>'Historical Prices'!C262/'Historical Prices'!C261-1</f>
        <v>7.8238651447815055E-3</v>
      </c>
      <c r="C264" s="3">
        <f>'Historical Prices'!B262/'Historical Prices'!B261-1</f>
        <v>-5.1119580174577295E-2</v>
      </c>
      <c r="D264" s="3">
        <f>'Historical Prices'!D262/'Historical Prices'!D261-1</f>
        <v>-2.0523311081638629E-2</v>
      </c>
      <c r="E264" s="3">
        <f>'Historical Prices'!E262/'Historical Prices'!E261-1</f>
        <v>-4.9618984940816846E-3</v>
      </c>
      <c r="F264" s="3">
        <f>'Historical Prices'!F262/'Historical Prices'!F261-1</f>
        <v>2.1029543477011359E-3</v>
      </c>
      <c r="G264" s="9">
        <f t="shared" si="16"/>
        <v>-1.2958591061756682E-2</v>
      </c>
      <c r="H264" s="6">
        <f t="shared" si="17"/>
        <v>-12958.591061756682</v>
      </c>
      <c r="I264" s="9">
        <f t="shared" si="8"/>
        <v>1.1878031356316293E-2</v>
      </c>
      <c r="J264">
        <f t="shared" si="9"/>
        <v>1</v>
      </c>
      <c r="K264" s="5">
        <f t="shared" si="10"/>
        <v>1.4588039203593101E-2</v>
      </c>
      <c r="L264">
        <f t="shared" si="11"/>
        <v>0</v>
      </c>
      <c r="M264" s="9">
        <f t="shared" si="12"/>
        <v>2.0786426398744336E-2</v>
      </c>
      <c r="N264">
        <f t="shared" si="13"/>
        <v>0</v>
      </c>
      <c r="O264" s="5">
        <f t="shared" si="14"/>
        <v>2.1126764111866869E-2</v>
      </c>
      <c r="P264">
        <f t="shared" si="15"/>
        <v>0</v>
      </c>
    </row>
    <row r="265" spans="1:16" x14ac:dyDescent="0.25">
      <c r="A265" s="2">
        <f>'Historical Prices'!A263</f>
        <v>45499</v>
      </c>
      <c r="B265" s="3">
        <f>'Historical Prices'!C263/'Historical Prices'!C262-1</f>
        <v>9.5884780801935854E-4</v>
      </c>
      <c r="C265" s="3">
        <f>'Historical Prices'!B263/'Historical Prices'!B262-1</f>
        <v>1.2329824147669921E-3</v>
      </c>
      <c r="D265" s="3">
        <f>'Historical Prices'!D263/'Historical Prices'!D262-1</f>
        <v>7.7635534744120438E-3</v>
      </c>
      <c r="E265" s="3">
        <f>'Historical Prices'!E263/'Historical Prices'!E262-1</f>
        <v>2.9618895381150701E-2</v>
      </c>
      <c r="F265" s="3">
        <f>'Historical Prices'!F263/'Historical Prices'!F262-1</f>
        <v>2.7175153356975956E-2</v>
      </c>
      <c r="G265" s="9">
        <f t="shared" si="16"/>
        <v>1.2900066186797548E-2</v>
      </c>
      <c r="H265" s="6">
        <f t="shared" si="17"/>
        <v>12900.066186797549</v>
      </c>
      <c r="I265" s="9">
        <f t="shared" si="8"/>
        <v>1.2214908460972293E-2</v>
      </c>
      <c r="J265">
        <f t="shared" si="9"/>
        <v>0</v>
      </c>
      <c r="K265" s="5">
        <f t="shared" si="10"/>
        <v>1.472442179946426E-2</v>
      </c>
      <c r="L265">
        <f t="shared" si="11"/>
        <v>0</v>
      </c>
      <c r="M265" s="9">
        <f t="shared" si="12"/>
        <v>2.0786426398744336E-2</v>
      </c>
      <c r="N265">
        <f t="shared" si="13"/>
        <v>0</v>
      </c>
      <c r="O265" s="5">
        <f t="shared" si="14"/>
        <v>2.1287746619595174E-2</v>
      </c>
      <c r="P265">
        <f t="shared" si="15"/>
        <v>0</v>
      </c>
    </row>
    <row r="266" spans="1:16" x14ac:dyDescent="0.25">
      <c r="A266" s="2">
        <f>'Historical Prices'!A264</f>
        <v>45502</v>
      </c>
      <c r="B266" s="3">
        <f>'Historical Prices'!C264/'Historical Prices'!C263-1</f>
        <v>-8.0957267104264652E-3</v>
      </c>
      <c r="C266" s="3">
        <f>'Historical Prices'!B264/'Historical Prices'!B263-1</f>
        <v>-6.200314481312974E-3</v>
      </c>
      <c r="D266" s="3">
        <f>'Historical Prices'!D264/'Historical Prices'!D263-1</f>
        <v>4.5559158398242872E-3</v>
      </c>
      <c r="E266" s="3">
        <f>'Historical Prices'!E264/'Historical Prices'!E263-1</f>
        <v>-4.1513269323740776E-3</v>
      </c>
      <c r="F266" s="3">
        <f>'Historical Prices'!F264/'Historical Prices'!F263-1</f>
        <v>1.5651971876845749E-2</v>
      </c>
      <c r="G266" s="9">
        <f t="shared" si="16"/>
        <v>4.4837967007346248E-4</v>
      </c>
      <c r="H266" s="6">
        <f t="shared" si="17"/>
        <v>448.37967007346248</v>
      </c>
      <c r="I266" s="9">
        <f t="shared" si="8"/>
        <v>1.2214908460972293E-2</v>
      </c>
      <c r="J266">
        <f t="shared" si="9"/>
        <v>0</v>
      </c>
      <c r="K266" s="5">
        <f t="shared" si="10"/>
        <v>1.473628091583596E-2</v>
      </c>
      <c r="L266">
        <f t="shared" si="11"/>
        <v>0</v>
      </c>
      <c r="M266" s="9">
        <f t="shared" si="12"/>
        <v>2.0786426398744336E-2</v>
      </c>
      <c r="N266">
        <f t="shared" si="13"/>
        <v>0</v>
      </c>
      <c r="O266" s="5">
        <f t="shared" si="14"/>
        <v>2.1313058088317963E-2</v>
      </c>
      <c r="P266">
        <f t="shared" si="15"/>
        <v>0</v>
      </c>
    </row>
    <row r="267" spans="1:16" x14ac:dyDescent="0.25">
      <c r="A267" s="2">
        <f>'Historical Prices'!A265</f>
        <v>45503</v>
      </c>
      <c r="B267" s="3">
        <f>'Historical Prices'!C265/'Historical Prices'!C264-1</f>
        <v>6.5419320220163613E-3</v>
      </c>
      <c r="C267" s="3">
        <f>'Historical Prices'!B265/'Historical Prices'!B264-1</f>
        <v>-4.2740022059284399E-5</v>
      </c>
      <c r="D267" s="3">
        <f>'Historical Prices'!D265/'Historical Prices'!D264-1</f>
        <v>-2.6799038267895092E-3</v>
      </c>
      <c r="E267" s="3">
        <f>'Historical Prices'!E265/'Historical Prices'!E264-1</f>
        <v>3.2333239612787334E-3</v>
      </c>
      <c r="F267" s="3">
        <f>'Historical Prices'!F265/'Historical Prices'!F264-1</f>
        <v>-3.7162226613356442E-3</v>
      </c>
      <c r="G267" s="9">
        <f t="shared" si="16"/>
        <v>6.3661608075517274E-4</v>
      </c>
      <c r="H267" s="6">
        <f t="shared" si="17"/>
        <v>636.61608075517279</v>
      </c>
      <c r="I267" s="9">
        <f t="shared" si="8"/>
        <v>1.2214908460972293E-2</v>
      </c>
      <c r="J267">
        <f t="shared" si="9"/>
        <v>0</v>
      </c>
      <c r="K267" s="5">
        <f t="shared" si="10"/>
        <v>1.4741715630105108E-2</v>
      </c>
      <c r="L267">
        <f t="shared" si="11"/>
        <v>0</v>
      </c>
      <c r="M267" s="9">
        <f t="shared" si="12"/>
        <v>2.0786426398744336E-2</v>
      </c>
      <c r="N267">
        <f t="shared" si="13"/>
        <v>0</v>
      </c>
      <c r="O267" s="5">
        <f t="shared" si="14"/>
        <v>2.1318495844474528E-2</v>
      </c>
      <c r="P267">
        <f t="shared" si="15"/>
        <v>0</v>
      </c>
    </row>
    <row r="268" spans="1:16" x14ac:dyDescent="0.25">
      <c r="A268" s="2">
        <f>'Historical Prices'!A266</f>
        <v>45504</v>
      </c>
      <c r="B268" s="3">
        <f>'Historical Prices'!C266/'Historical Prices'!C265-1</f>
        <v>1.2369974172532494E-4</v>
      </c>
      <c r="C268" s="3">
        <f>'Historical Prices'!B266/'Historical Prices'!B265-1</f>
        <v>-3.333446196895129E-3</v>
      </c>
      <c r="D268" s="3">
        <f>'Historical Prices'!D266/'Historical Prices'!D265-1</f>
        <v>4.5063707923533869E-3</v>
      </c>
      <c r="E268" s="3">
        <f>'Historical Prices'!E266/'Historical Prices'!E265-1</f>
        <v>-4.7412362054085611E-3</v>
      </c>
      <c r="F268" s="3">
        <f>'Historical Prices'!F266/'Historical Prices'!F265-1</f>
        <v>-4.8938156971118918E-3</v>
      </c>
      <c r="G268" s="9">
        <f t="shared" si="16"/>
        <v>-1.3780512401951163E-3</v>
      </c>
      <c r="H268" s="6">
        <f t="shared" si="17"/>
        <v>-1378.0512401951164</v>
      </c>
      <c r="I268" s="9">
        <f t="shared" si="8"/>
        <v>1.2214908460972293E-2</v>
      </c>
      <c r="J268">
        <f t="shared" si="9"/>
        <v>0</v>
      </c>
      <c r="K268" s="5">
        <f t="shared" si="10"/>
        <v>1.4754332642819185E-2</v>
      </c>
      <c r="L268">
        <f t="shared" si="11"/>
        <v>0</v>
      </c>
      <c r="M268" s="9">
        <f t="shared" si="12"/>
        <v>2.0786426398744336E-2</v>
      </c>
      <c r="N268">
        <f t="shared" si="13"/>
        <v>0</v>
      </c>
      <c r="O268" s="5">
        <f t="shared" si="14"/>
        <v>2.1328814775695894E-2</v>
      </c>
      <c r="P268">
        <f t="shared" si="15"/>
        <v>0</v>
      </c>
    </row>
    <row r="269" spans="1:16" x14ac:dyDescent="0.25">
      <c r="A269" s="2">
        <f>'Historical Prices'!A267</f>
        <v>45505</v>
      </c>
      <c r="B269" s="3">
        <f>'Historical Prices'!C267/'Historical Prices'!C266-1</f>
        <v>1.4265898977287694E-2</v>
      </c>
      <c r="C269" s="3">
        <f>'Historical Prices'!B267/'Historical Prices'!B266-1</f>
        <v>5.3169816060898434E-3</v>
      </c>
      <c r="D269" s="3">
        <f>'Historical Prices'!D267/'Historical Prices'!D266-1</f>
        <v>-3.9511444683668628E-3</v>
      </c>
      <c r="E269" s="3">
        <f>'Historical Prices'!E267/'Historical Prices'!E266-1</f>
        <v>-8.3767454999728042E-3</v>
      </c>
      <c r="F269" s="3">
        <f>'Historical Prices'!F267/'Historical Prices'!F266-1</f>
        <v>-2.7305911337506261E-2</v>
      </c>
      <c r="G269" s="9">
        <f t="shared" si="16"/>
        <v>-3.7309936133273136E-3</v>
      </c>
      <c r="H269" s="6">
        <f t="shared" si="17"/>
        <v>-3730.9936133273136</v>
      </c>
      <c r="I269" s="9">
        <f t="shared" si="8"/>
        <v>1.1878031356316293E-2</v>
      </c>
      <c r="J269">
        <f t="shared" si="9"/>
        <v>0</v>
      </c>
      <c r="K269" s="5">
        <f t="shared" si="10"/>
        <v>1.4523360144803826E-2</v>
      </c>
      <c r="L269">
        <f t="shared" si="11"/>
        <v>0</v>
      </c>
      <c r="M269" s="9">
        <f t="shared" si="12"/>
        <v>2.0054172806682057E-2</v>
      </c>
      <c r="N269">
        <f t="shared" si="13"/>
        <v>0</v>
      </c>
      <c r="O269" s="5">
        <f t="shared" si="14"/>
        <v>2.1033430704220639E-2</v>
      </c>
      <c r="P269">
        <f t="shared" si="15"/>
        <v>0</v>
      </c>
    </row>
    <row r="270" spans="1:16" x14ac:dyDescent="0.25">
      <c r="A270" s="2">
        <f>'Historical Prices'!A268</f>
        <v>45506</v>
      </c>
      <c r="B270" s="3">
        <f>'Historical Prices'!C268/'Historical Prices'!C267-1</f>
        <v>1.2417571192849586E-2</v>
      </c>
      <c r="C270" s="3">
        <f>'Historical Prices'!B268/'Historical Prices'!B267-1</f>
        <v>-9.7671155281666699E-3</v>
      </c>
      <c r="D270" s="3">
        <f>'Historical Prices'!D268/'Historical Prices'!D267-1</f>
        <v>-1.1197270561259964E-2</v>
      </c>
      <c r="E270" s="3">
        <f>'Historical Prices'!E268/'Historical Prices'!E267-1</f>
        <v>-1.6949272541613492E-2</v>
      </c>
      <c r="F270" s="3">
        <f>'Historical Prices'!F268/'Historical Prices'!F267-1</f>
        <v>-2.7842619877775698E-2</v>
      </c>
      <c r="G270" s="9">
        <f t="shared" si="16"/>
        <v>-1.0234115024042261E-2</v>
      </c>
      <c r="H270" s="6">
        <f t="shared" si="17"/>
        <v>-10234.115024042261</v>
      </c>
      <c r="I270" s="9">
        <f t="shared" si="8"/>
        <v>1.1878031356316293E-2</v>
      </c>
      <c r="J270">
        <f t="shared" si="9"/>
        <v>0</v>
      </c>
      <c r="K270" s="5">
        <f t="shared" si="10"/>
        <v>1.4557114666919894E-2</v>
      </c>
      <c r="L270">
        <f t="shared" si="11"/>
        <v>0</v>
      </c>
      <c r="M270" s="9">
        <f t="shared" si="12"/>
        <v>2.0054172806682057E-2</v>
      </c>
      <c r="N270">
        <f t="shared" si="13"/>
        <v>0</v>
      </c>
      <c r="O270" s="5">
        <f t="shared" si="14"/>
        <v>2.1070219854306488E-2</v>
      </c>
      <c r="P270">
        <f t="shared" si="15"/>
        <v>0</v>
      </c>
    </row>
    <row r="271" spans="1:16" x14ac:dyDescent="0.25">
      <c r="A271" s="2">
        <f>'Historical Prices'!A269</f>
        <v>45509</v>
      </c>
      <c r="B271" s="3">
        <f>'Historical Prices'!C269/'Historical Prices'!C268-1</f>
        <v>-2.6157997994890048E-2</v>
      </c>
      <c r="C271" s="3">
        <f>'Historical Prices'!B269/'Historical Prices'!B268-1</f>
        <v>-2.3560387818257422E-2</v>
      </c>
      <c r="D271" s="3">
        <f>'Historical Prices'!D269/'Historical Prices'!D268-1</f>
        <v>-2.0016029805191016E-2</v>
      </c>
      <c r="E271" s="3">
        <f>'Historical Prices'!E269/'Historical Prices'!E268-1</f>
        <v>-3.8051788259060415E-2</v>
      </c>
      <c r="F271" s="3">
        <f>'Historical Prices'!F269/'Historical Prices'!F268-1</f>
        <v>-2.5712303979554152E-2</v>
      </c>
      <c r="G271" s="9">
        <f t="shared" si="16"/>
        <v>-2.6383641333212225E-2</v>
      </c>
      <c r="H271" s="6">
        <f t="shared" si="17"/>
        <v>-26383.641333212225</v>
      </c>
      <c r="I271" s="9">
        <f t="shared" si="8"/>
        <v>1.1878031356316293E-2</v>
      </c>
      <c r="J271">
        <f t="shared" si="9"/>
        <v>1</v>
      </c>
      <c r="K271" s="5">
        <f t="shared" si="10"/>
        <v>1.4654199696481698E-2</v>
      </c>
      <c r="L271">
        <f t="shared" si="11"/>
        <v>1</v>
      </c>
      <c r="M271" s="9">
        <f t="shared" si="12"/>
        <v>2.0054172806682057E-2</v>
      </c>
      <c r="N271">
        <f t="shared" si="13"/>
        <v>1</v>
      </c>
      <c r="O271" s="5">
        <f t="shared" si="14"/>
        <v>2.1185133505977335E-2</v>
      </c>
      <c r="P271">
        <f t="shared" si="15"/>
        <v>1</v>
      </c>
    </row>
    <row r="272" spans="1:16" x14ac:dyDescent="0.25">
      <c r="A272" s="2">
        <f>'Historical Prices'!A270</f>
        <v>45510</v>
      </c>
      <c r="B272" s="3">
        <f>'Historical Prices'!C270/'Historical Prices'!C269-1</f>
        <v>-9.0051458643549687E-3</v>
      </c>
      <c r="C272" s="3">
        <f>'Historical Prices'!B270/'Historical Prices'!B269-1</f>
        <v>-6.5284131378130494E-3</v>
      </c>
      <c r="D272" s="3">
        <f>'Historical Prices'!D270/'Historical Prices'!D269-1</f>
        <v>-4.9035356651767614E-3</v>
      </c>
      <c r="E272" s="3">
        <f>'Historical Prices'!E270/'Historical Prices'!E269-1</f>
        <v>-4.5662767268961346E-4</v>
      </c>
      <c r="F272" s="3">
        <f>'Historical Prices'!F270/'Historical Prices'!F269-1</f>
        <v>-1.7170921460569866E-2</v>
      </c>
      <c r="G272" s="9">
        <f t="shared" si="16"/>
        <v>-7.614575063089545E-3</v>
      </c>
      <c r="H272" s="6">
        <f t="shared" si="17"/>
        <v>-7614.5750630895454</v>
      </c>
      <c r="I272" s="9">
        <f t="shared" si="8"/>
        <v>1.2214908460972293E-2</v>
      </c>
      <c r="J272">
        <f t="shared" si="9"/>
        <v>0</v>
      </c>
      <c r="K272" s="5">
        <f t="shared" si="10"/>
        <v>1.5024069657114517E-2</v>
      </c>
      <c r="L272">
        <f t="shared" si="11"/>
        <v>0</v>
      </c>
      <c r="M272" s="9">
        <f t="shared" si="12"/>
        <v>2.0054172806682057E-2</v>
      </c>
      <c r="N272">
        <f t="shared" si="13"/>
        <v>0</v>
      </c>
      <c r="O272" s="5">
        <f t="shared" si="14"/>
        <v>2.1661544703491322E-2</v>
      </c>
      <c r="P272">
        <f t="shared" si="15"/>
        <v>0</v>
      </c>
    </row>
    <row r="273" spans="1:16" x14ac:dyDescent="0.25">
      <c r="A273" s="2">
        <f>'Historical Prices'!A271</f>
        <v>45511</v>
      </c>
      <c r="B273" s="3">
        <f>'Historical Prices'!C271/'Historical Prices'!C270-1</f>
        <v>1.3927167685175768E-2</v>
      </c>
      <c r="C273" s="3">
        <f>'Historical Prices'!B271/'Historical Prices'!B270-1</f>
        <v>9.501813837542894E-3</v>
      </c>
      <c r="D273" s="3">
        <f>'Historical Prices'!D271/'Historical Prices'!D270-1</f>
        <v>4.7992415229725083E-3</v>
      </c>
      <c r="E273" s="3">
        <f>'Historical Prices'!E271/'Historical Prices'!E270-1</f>
        <v>2.3156852881587531E-2</v>
      </c>
      <c r="F273" s="3">
        <f>'Historical Prices'!F271/'Historical Prices'!F270-1</f>
        <v>1.8192523848572728E-2</v>
      </c>
      <c r="G273" s="9">
        <f t="shared" si="16"/>
        <v>1.355350727905125E-2</v>
      </c>
      <c r="H273" s="6">
        <f t="shared" si="17"/>
        <v>13553.507279051249</v>
      </c>
      <c r="I273" s="9">
        <f t="shared" si="8"/>
        <v>1.1878031356316293E-2</v>
      </c>
      <c r="J273">
        <f t="shared" si="9"/>
        <v>0</v>
      </c>
      <c r="K273" s="5">
        <f t="shared" si="10"/>
        <v>1.4878387416660706E-2</v>
      </c>
      <c r="L273">
        <f t="shared" si="11"/>
        <v>0</v>
      </c>
      <c r="M273" s="9">
        <f t="shared" si="12"/>
        <v>1.9007074279258091E-2</v>
      </c>
      <c r="N273">
        <f t="shared" si="13"/>
        <v>0</v>
      </c>
      <c r="O273" s="5">
        <f t="shared" si="14"/>
        <v>2.1473340969763052E-2</v>
      </c>
      <c r="P273">
        <f t="shared" si="15"/>
        <v>0</v>
      </c>
    </row>
    <row r="274" spans="1:16" x14ac:dyDescent="0.25">
      <c r="A274" s="2">
        <f>'Historical Prices'!A272</f>
        <v>45512</v>
      </c>
      <c r="B274" s="3">
        <f>'Historical Prices'!C272/'Historical Prices'!C271-1</f>
        <v>1.1826243317269558E-2</v>
      </c>
      <c r="C274" s="3">
        <f>'Historical Prices'!B272/'Historical Prices'!B271-1</f>
        <v>1.1876255909752942E-3</v>
      </c>
      <c r="D274" s="3">
        <f>'Historical Prices'!D272/'Historical Prices'!D271-1</f>
        <v>-6.6953621429943766E-3</v>
      </c>
      <c r="E274" s="3">
        <f>'Historical Prices'!E272/'Historical Prices'!E271-1</f>
        <v>-2.7069956700681574E-2</v>
      </c>
      <c r="F274" s="3">
        <f>'Historical Prices'!F272/'Historical Prices'!F271-1</f>
        <v>7.832996507062262E-4</v>
      </c>
      <c r="G274" s="9">
        <f t="shared" si="16"/>
        <v>-3.6539117288743794E-3</v>
      </c>
      <c r="H274" s="6">
        <f t="shared" si="17"/>
        <v>-3653.9117288743796</v>
      </c>
      <c r="I274" s="9">
        <f t="shared" si="8"/>
        <v>1.1878031356316293E-2</v>
      </c>
      <c r="J274">
        <f t="shared" si="9"/>
        <v>0</v>
      </c>
      <c r="K274" s="5">
        <f t="shared" si="10"/>
        <v>1.4857738880780916E-2</v>
      </c>
      <c r="L274">
        <f t="shared" si="11"/>
        <v>0</v>
      </c>
      <c r="M274" s="9">
        <f t="shared" si="12"/>
        <v>1.9007074279258091E-2</v>
      </c>
      <c r="N274">
        <f t="shared" si="13"/>
        <v>0</v>
      </c>
      <c r="O274" s="5">
        <f t="shared" si="14"/>
        <v>2.1472021832059783E-2</v>
      </c>
      <c r="P274">
        <f t="shared" si="15"/>
        <v>0</v>
      </c>
    </row>
    <row r="275" spans="1:16" x14ac:dyDescent="0.25">
      <c r="A275" s="2">
        <f>'Historical Prices'!A273</f>
        <v>45513</v>
      </c>
      <c r="B275" s="3">
        <f>'Historical Prices'!C273/'Historical Prices'!C272-1</f>
        <v>4.5656332168995117E-3</v>
      </c>
      <c r="C275" s="3">
        <f>'Historical Prices'!B273/'Historical Prices'!B272-1</f>
        <v>4.0415379995997203E-3</v>
      </c>
      <c r="D275" s="3">
        <f>'Historical Prices'!D273/'Historical Prices'!D272-1</f>
        <v>6.0105882269518851E-3</v>
      </c>
      <c r="E275" s="3">
        <f>'Historical Prices'!E273/'Historical Prices'!E272-1</f>
        <v>1.5833401997463303E-2</v>
      </c>
      <c r="F275" s="3">
        <f>'Historical Prices'!F273/'Historical Prices'!F272-1</f>
        <v>2.4674370314563321E-2</v>
      </c>
      <c r="G275" s="9">
        <f t="shared" si="16"/>
        <v>1.0754915596184684E-2</v>
      </c>
      <c r="H275" s="6">
        <f t="shared" si="17"/>
        <v>10754.915596184683</v>
      </c>
      <c r="I275" s="9">
        <f t="shared" si="8"/>
        <v>1.1878031356316293E-2</v>
      </c>
      <c r="J275">
        <f t="shared" si="9"/>
        <v>0</v>
      </c>
      <c r="K275" s="5">
        <f t="shared" si="10"/>
        <v>1.4895166762077782E-2</v>
      </c>
      <c r="L275">
        <f t="shared" si="11"/>
        <v>0</v>
      </c>
      <c r="M275" s="9">
        <f t="shared" si="12"/>
        <v>1.9007074279258091E-2</v>
      </c>
      <c r="N275">
        <f t="shared" si="13"/>
        <v>0</v>
      </c>
      <c r="O275" s="5">
        <f t="shared" si="14"/>
        <v>2.1510126414995761E-2</v>
      </c>
      <c r="P275">
        <f t="shared" si="15"/>
        <v>0</v>
      </c>
    </row>
    <row r="276" spans="1:16" x14ac:dyDescent="0.25">
      <c r="A276" s="2">
        <f>'Historical Prices'!A274</f>
        <v>45516</v>
      </c>
      <c r="B276" s="3">
        <f>'Historical Prices'!C274/'Historical Prices'!C273-1</f>
        <v>5.9993308503154541E-3</v>
      </c>
      <c r="C276" s="3">
        <f>'Historical Prices'!B274/'Historical Prices'!B273-1</f>
        <v>1.8858133450086578E-2</v>
      </c>
      <c r="D276" s="3">
        <f>'Historical Prices'!D274/'Historical Prices'!D273-1</f>
        <v>9.6419049038873883E-3</v>
      </c>
      <c r="E276" s="3">
        <f>'Historical Prices'!E274/'Historical Prices'!E273-1</f>
        <v>1.5050139875345536E-2</v>
      </c>
      <c r="F276" s="3">
        <f>'Historical Prices'!F274/'Historical Prices'!F273-1</f>
        <v>-1.1458132532273013E-2</v>
      </c>
      <c r="G276" s="9">
        <f t="shared" si="16"/>
        <v>7.4970902809886955E-3</v>
      </c>
      <c r="H276" s="6">
        <f t="shared" si="17"/>
        <v>7497.0902809886957</v>
      </c>
      <c r="I276" s="9">
        <f t="shared" si="8"/>
        <v>1.1878031356316293E-2</v>
      </c>
      <c r="J276">
        <f t="shared" si="9"/>
        <v>0</v>
      </c>
      <c r="K276" s="5">
        <f t="shared" si="10"/>
        <v>1.4899196651301377E-2</v>
      </c>
      <c r="L276">
        <f t="shared" si="11"/>
        <v>0</v>
      </c>
      <c r="M276" s="9">
        <f t="shared" si="12"/>
        <v>1.9007074279258091E-2</v>
      </c>
      <c r="N276">
        <f t="shared" si="13"/>
        <v>0</v>
      </c>
      <c r="O276" s="5">
        <f t="shared" si="14"/>
        <v>2.1524740297932797E-2</v>
      </c>
      <c r="P276">
        <f t="shared" si="15"/>
        <v>0</v>
      </c>
    </row>
    <row r="277" spans="1:16" x14ac:dyDescent="0.25">
      <c r="A277" s="2">
        <f>'Historical Prices'!A275</f>
        <v>45517</v>
      </c>
      <c r="B277" s="3">
        <f>'Historical Prices'!C275/'Historical Prices'!C274-1</f>
        <v>-3.4275015894122407E-2</v>
      </c>
      <c r="C277" s="3">
        <f>'Historical Prices'!B275/'Historical Prices'!B274-1</f>
        <v>-4.0368778733393951E-3</v>
      </c>
      <c r="D277" s="3">
        <f>'Historical Prices'!D275/'Historical Prices'!D274-1</f>
        <v>-3.7943549120672548E-3</v>
      </c>
      <c r="E277" s="3">
        <f>'Historical Prices'!E275/'Historical Prices'!E274-1</f>
        <v>2.7672272722600866E-5</v>
      </c>
      <c r="F277" s="3">
        <f>'Historical Prices'!F275/'Historical Prices'!F274-1</f>
        <v>1.4723625470858259E-4</v>
      </c>
      <c r="G277" s="9">
        <f t="shared" si="16"/>
        <v>-8.7912958700179858E-3</v>
      </c>
      <c r="H277" s="6">
        <f t="shared" si="17"/>
        <v>-8791.2958700179861</v>
      </c>
      <c r="I277" s="9">
        <f t="shared" si="8"/>
        <v>1.1878031356316293E-2</v>
      </c>
      <c r="J277">
        <f t="shared" si="9"/>
        <v>0</v>
      </c>
      <c r="K277" s="5">
        <f t="shared" si="10"/>
        <v>1.4806888847560606E-2</v>
      </c>
      <c r="L277">
        <f t="shared" si="11"/>
        <v>0</v>
      </c>
      <c r="M277" s="9">
        <f t="shared" si="12"/>
        <v>1.9007074279258091E-2</v>
      </c>
      <c r="N277">
        <f t="shared" si="13"/>
        <v>0</v>
      </c>
      <c r="O277" s="5">
        <f t="shared" si="14"/>
        <v>2.1422316446958484E-2</v>
      </c>
      <c r="P277">
        <f t="shared" si="15"/>
        <v>0</v>
      </c>
    </row>
    <row r="278" spans="1:16" x14ac:dyDescent="0.25">
      <c r="A278" s="2">
        <f>'Historical Prices'!A276</f>
        <v>45518</v>
      </c>
      <c r="B278" s="3">
        <f>'Historical Prices'!C276/'Historical Prices'!C275-1</f>
        <v>2.8692858156507128E-3</v>
      </c>
      <c r="C278" s="3">
        <f>'Historical Prices'!B276/'Historical Prices'!B275-1</f>
        <v>-5.6054306946089483E-3</v>
      </c>
      <c r="D278" s="3">
        <f>'Historical Prices'!D276/'Historical Prices'!D275-1</f>
        <v>-5.7346045282473668E-3</v>
      </c>
      <c r="E278" s="3">
        <f>'Historical Prices'!E276/'Historical Prices'!E275-1</f>
        <v>1.4353709195725539E-2</v>
      </c>
      <c r="F278" s="3">
        <f>'Historical Prices'!F276/'Historical Prices'!F275-1</f>
        <v>1.0007206103338939E-2</v>
      </c>
      <c r="G278" s="9">
        <f t="shared" si="16"/>
        <v>2.8389081108604443E-3</v>
      </c>
      <c r="H278" s="6">
        <f t="shared" si="17"/>
        <v>2838.9081108604441</v>
      </c>
      <c r="I278" s="9">
        <f t="shared" si="8"/>
        <v>1.1878031356316293E-2</v>
      </c>
      <c r="J278">
        <f t="shared" si="9"/>
        <v>0</v>
      </c>
      <c r="K278" s="5">
        <f t="shared" si="10"/>
        <v>1.4798289438884813E-2</v>
      </c>
      <c r="L278">
        <f t="shared" si="11"/>
        <v>0</v>
      </c>
      <c r="M278" s="9">
        <f t="shared" si="12"/>
        <v>1.9007074279258091E-2</v>
      </c>
      <c r="N278">
        <f t="shared" si="13"/>
        <v>0</v>
      </c>
      <c r="O278" s="5">
        <f t="shared" si="14"/>
        <v>2.1411445125702734E-2</v>
      </c>
      <c r="P278">
        <f t="shared" si="15"/>
        <v>0</v>
      </c>
    </row>
    <row r="279" spans="1:16" x14ac:dyDescent="0.25">
      <c r="A279" s="2">
        <f>'Historical Prices'!A277</f>
        <v>45520</v>
      </c>
      <c r="B279" s="3">
        <f>'Historical Prices'!C277/'Historical Prices'!C276-1</f>
        <v>1.5113737102138369E-2</v>
      </c>
      <c r="C279" s="3">
        <f>'Historical Prices'!B277/'Historical Prices'!B276-1</f>
        <v>1.1924475564515813E-2</v>
      </c>
      <c r="D279" s="3">
        <f>'Historical Prices'!D277/'Historical Prices'!D276-1</f>
        <v>2.2037554044967989E-2</v>
      </c>
      <c r="E279" s="3">
        <f>'Historical Prices'!E277/'Historical Prices'!E276-1</f>
        <v>1.9580371863314738E-2</v>
      </c>
      <c r="F279" s="3">
        <f>'Historical Prices'!F277/'Historical Prices'!F276-1</f>
        <v>3.4677963101545695E-2</v>
      </c>
      <c r="G279" s="9">
        <f t="shared" si="16"/>
        <v>2.0703711226657331E-2</v>
      </c>
      <c r="H279" s="6">
        <f t="shared" si="17"/>
        <v>20703.711226657331</v>
      </c>
      <c r="I279" s="9">
        <f t="shared" si="8"/>
        <v>1.1878031356316293E-2</v>
      </c>
      <c r="J279">
        <f t="shared" si="9"/>
        <v>0</v>
      </c>
      <c r="K279" s="5">
        <f t="shared" si="10"/>
        <v>1.4803004057998888E-2</v>
      </c>
      <c r="L279">
        <f t="shared" si="11"/>
        <v>0</v>
      </c>
      <c r="M279" s="9">
        <f t="shared" si="12"/>
        <v>1.9007074279258091E-2</v>
      </c>
      <c r="N279">
        <f t="shared" si="13"/>
        <v>0</v>
      </c>
      <c r="O279" s="5">
        <f t="shared" si="14"/>
        <v>2.140800489030284E-2</v>
      </c>
      <c r="P279">
        <f t="shared" si="15"/>
        <v>0</v>
      </c>
    </row>
    <row r="280" spans="1:16" x14ac:dyDescent="0.25">
      <c r="A280" s="2">
        <f>'Historical Prices'!A278</f>
        <v>45523</v>
      </c>
      <c r="B280" s="3">
        <f>'Historical Prices'!C278/'Historical Prices'!C277-1</f>
        <v>-3.3689822306226525E-4</v>
      </c>
      <c r="C280" s="3">
        <f>'Historical Prices'!B278/'Historical Prices'!B277-1</f>
        <v>-1.1655281556833819E-2</v>
      </c>
      <c r="D280" s="3">
        <f>'Historical Prices'!D278/'Historical Prices'!D277-1</f>
        <v>-9.5598139046572106E-3</v>
      </c>
      <c r="E280" s="3">
        <f>'Historical Prices'!E278/'Historical Prices'!E277-1</f>
        <v>3.1470837796752082E-3</v>
      </c>
      <c r="F280" s="3">
        <f>'Historical Prices'!F278/'Historical Prices'!F277-1</f>
        <v>-2.6509898738457327E-2</v>
      </c>
      <c r="G280" s="9">
        <f t="shared" si="16"/>
        <v>-8.9344793372015258E-3</v>
      </c>
      <c r="H280" s="6">
        <f t="shared" si="17"/>
        <v>-8934.4793372015265</v>
      </c>
      <c r="I280" s="9">
        <f t="shared" si="8"/>
        <v>1.1878031356316293E-2</v>
      </c>
      <c r="J280">
        <f t="shared" si="9"/>
        <v>0</v>
      </c>
      <c r="K280" s="5">
        <f t="shared" si="10"/>
        <v>1.486274320839902E-2</v>
      </c>
      <c r="L280">
        <f t="shared" si="11"/>
        <v>0</v>
      </c>
      <c r="M280" s="9">
        <f t="shared" si="12"/>
        <v>1.9007074279258091E-2</v>
      </c>
      <c r="N280">
        <f t="shared" si="13"/>
        <v>0</v>
      </c>
      <c r="O280" s="5">
        <f t="shared" si="14"/>
        <v>2.1509718722804008E-2</v>
      </c>
      <c r="P280">
        <f t="shared" si="15"/>
        <v>0</v>
      </c>
    </row>
    <row r="281" spans="1:16" x14ac:dyDescent="0.25">
      <c r="A281" s="2">
        <f>'Historical Prices'!A279</f>
        <v>45524</v>
      </c>
      <c r="B281" s="3">
        <f>'Historical Prices'!C279/'Historical Prices'!C278-1</f>
        <v>3.7693362618103077E-3</v>
      </c>
      <c r="C281" s="3">
        <f>'Historical Prices'!B279/'Historical Prices'!B278-1</f>
        <v>1.2789857765246104E-2</v>
      </c>
      <c r="D281" s="3">
        <f>'Historical Prices'!D279/'Historical Prices'!D278-1</f>
        <v>3.0188944371201121E-3</v>
      </c>
      <c r="E281" s="3">
        <f>'Historical Prices'!E279/'Historical Prices'!E278-1</f>
        <v>3.9682243989038746E-3</v>
      </c>
      <c r="F281" s="3">
        <f>'Historical Prices'!F279/'Historical Prices'!F278-1</f>
        <v>2.2242072096654297E-3</v>
      </c>
      <c r="G281" s="9">
        <f t="shared" si="16"/>
        <v>4.9983123658628014E-3</v>
      </c>
      <c r="H281" s="6">
        <f t="shared" si="17"/>
        <v>4998.312365862801</v>
      </c>
      <c r="I281" s="9">
        <f t="shared" si="8"/>
        <v>1.1878031356316293E-2</v>
      </c>
      <c r="J281">
        <f t="shared" si="9"/>
        <v>0</v>
      </c>
      <c r="K281" s="5">
        <f t="shared" si="10"/>
        <v>1.4922111802542475E-2</v>
      </c>
      <c r="L281">
        <f t="shared" si="11"/>
        <v>0</v>
      </c>
      <c r="M281" s="9">
        <f t="shared" si="12"/>
        <v>1.9007074279258091E-2</v>
      </c>
      <c r="N281">
        <f t="shared" si="13"/>
        <v>0</v>
      </c>
      <c r="O281" s="5">
        <f t="shared" si="14"/>
        <v>2.1582055370167441E-2</v>
      </c>
      <c r="P281">
        <f t="shared" si="15"/>
        <v>0</v>
      </c>
    </row>
    <row r="282" spans="1:16" x14ac:dyDescent="0.25">
      <c r="A282" s="2">
        <f>'Historical Prices'!A280</f>
        <v>45525</v>
      </c>
      <c r="B282" s="3">
        <f>'Historical Prices'!C280/'Historical Prices'!C279-1</f>
        <v>-7.2662332376471905E-3</v>
      </c>
      <c r="C282" s="3">
        <f>'Historical Prices'!B280/'Historical Prices'!B279-1</f>
        <v>5.4794876180790375E-3</v>
      </c>
      <c r="D282" s="3">
        <f>'Historical Prices'!D280/'Historical Prices'!D279-1</f>
        <v>-3.9001190061130897E-3</v>
      </c>
      <c r="E282" s="3">
        <f>'Historical Prices'!E280/'Historical Prices'!E279-1</f>
        <v>2.6698476397268855E-4</v>
      </c>
      <c r="F282" s="3">
        <f>'Historical Prices'!F280/'Historical Prices'!F279-1</f>
        <v>-6.8558615238012433E-4</v>
      </c>
      <c r="G282" s="9">
        <f t="shared" si="16"/>
        <v>-1.4929795367697313E-3</v>
      </c>
      <c r="H282" s="6">
        <f t="shared" si="17"/>
        <v>-1492.9795367697313</v>
      </c>
      <c r="I282" s="9">
        <f t="shared" si="8"/>
        <v>1.1878031356316293E-2</v>
      </c>
      <c r="J282">
        <f t="shared" si="9"/>
        <v>0</v>
      </c>
      <c r="K282" s="5">
        <f t="shared" si="10"/>
        <v>1.492177512114678E-2</v>
      </c>
      <c r="L282">
        <f t="shared" si="11"/>
        <v>0</v>
      </c>
      <c r="M282" s="9">
        <f t="shared" si="12"/>
        <v>2.4333172474090344E-2</v>
      </c>
      <c r="N282">
        <f t="shared" si="13"/>
        <v>0</v>
      </c>
      <c r="O282" s="5">
        <f t="shared" si="14"/>
        <v>2.1581956808603975E-2</v>
      </c>
      <c r="P282">
        <f t="shared" si="15"/>
        <v>0</v>
      </c>
    </row>
    <row r="283" spans="1:16" x14ac:dyDescent="0.25">
      <c r="A283" s="2">
        <f>'Historical Prices'!A281</f>
        <v>45526</v>
      </c>
      <c r="B283" s="3">
        <f>'Historical Prices'!C281/'Historical Prices'!C280-1</f>
        <v>3.3830425196763603E-3</v>
      </c>
      <c r="C283" s="3">
        <f>'Historical Prices'!B281/'Historical Prices'!B280-1</f>
        <v>-3.7892519590191354E-3</v>
      </c>
      <c r="D283" s="3">
        <f>'Historical Prices'!D281/'Historical Prices'!D280-1</f>
        <v>1.3831623892006428E-2</v>
      </c>
      <c r="E283" s="3">
        <f>'Historical Prices'!E281/'Historical Prices'!E280-1</f>
        <v>4.0315797021472921E-3</v>
      </c>
      <c r="F283" s="3">
        <f>'Historical Prices'!F281/'Historical Prices'!F280-1</f>
        <v>-1.3161778499114929E-2</v>
      </c>
      <c r="G283" s="9">
        <f t="shared" si="16"/>
        <v>1.3714473446452867E-3</v>
      </c>
      <c r="H283" s="6">
        <f t="shared" si="17"/>
        <v>1371.4473446452866</v>
      </c>
      <c r="I283" s="9">
        <f t="shared" si="8"/>
        <v>1.1878031356316293E-2</v>
      </c>
      <c r="J283">
        <f t="shared" si="9"/>
        <v>0</v>
      </c>
      <c r="K283" s="5">
        <f t="shared" si="10"/>
        <v>1.4895369388381208E-2</v>
      </c>
      <c r="L283">
        <f t="shared" si="11"/>
        <v>0</v>
      </c>
      <c r="M283" s="9">
        <f t="shared" si="12"/>
        <v>2.4333172474090344E-2</v>
      </c>
      <c r="N283">
        <f t="shared" si="13"/>
        <v>0</v>
      </c>
      <c r="O283" s="5">
        <f t="shared" si="14"/>
        <v>2.1550810046443655E-2</v>
      </c>
      <c r="P283">
        <f t="shared" si="15"/>
        <v>0</v>
      </c>
    </row>
    <row r="284" spans="1:16" x14ac:dyDescent="0.25">
      <c r="A284" s="2">
        <f>'Historical Prices'!A282</f>
        <v>45527</v>
      </c>
      <c r="B284" s="3">
        <f>'Historical Prices'!C282/'Historical Prices'!C281-1</f>
        <v>-3.8313591379565137E-3</v>
      </c>
      <c r="C284" s="3">
        <f>'Historical Prices'!B282/'Historical Prices'!B281-1</f>
        <v>-3.4189718817645431E-3</v>
      </c>
      <c r="D284" s="3">
        <f>'Historical Prices'!D282/'Historical Prices'!D281-1</f>
        <v>1.0410515495483663E-2</v>
      </c>
      <c r="E284" s="3">
        <f>'Historical Prices'!E282/'Historical Prices'!E281-1</f>
        <v>-9.6529076587078544E-3</v>
      </c>
      <c r="F284" s="3">
        <f>'Historical Prices'!F282/'Historical Prices'!F281-1</f>
        <v>9.5318838699134378E-3</v>
      </c>
      <c r="G284" s="9">
        <f t="shared" si="16"/>
        <v>9.9923472245433496E-4</v>
      </c>
      <c r="H284" s="6">
        <f t="shared" si="17"/>
        <v>999.23472245433493</v>
      </c>
      <c r="I284" s="9">
        <f t="shared" si="8"/>
        <v>1.1878031356316293E-2</v>
      </c>
      <c r="J284">
        <f t="shared" si="9"/>
        <v>0</v>
      </c>
      <c r="K284" s="5">
        <f t="shared" si="10"/>
        <v>1.4834241041498421E-2</v>
      </c>
      <c r="L284">
        <f t="shared" si="11"/>
        <v>0</v>
      </c>
      <c r="M284" s="9">
        <f t="shared" si="12"/>
        <v>2.4333172474090344E-2</v>
      </c>
      <c r="N284">
        <f t="shared" si="13"/>
        <v>0</v>
      </c>
      <c r="O284" s="5">
        <f t="shared" si="14"/>
        <v>2.1479077197498198E-2</v>
      </c>
      <c r="P284">
        <f t="shared" si="15"/>
        <v>0</v>
      </c>
    </row>
    <row r="285" spans="1:16" x14ac:dyDescent="0.25">
      <c r="A285" s="2">
        <f>'Historical Prices'!A283</f>
        <v>45530</v>
      </c>
      <c r="B285" s="3">
        <f>'Historical Prices'!C283/'Historical Prices'!C282-1</f>
        <v>9.1688376537149008E-3</v>
      </c>
      <c r="C285" s="3">
        <f>'Historical Prices'!B283/'Historical Prices'!B282-1</f>
        <v>3.7310384669548835E-3</v>
      </c>
      <c r="D285" s="3">
        <f>'Historical Prices'!D283/'Historical Prices'!D282-1</f>
        <v>8.1429303252289476E-3</v>
      </c>
      <c r="E285" s="3">
        <f>'Historical Prices'!E283/'Historical Prices'!E282-1</f>
        <v>7.5452728576117511E-3</v>
      </c>
      <c r="F285" s="3">
        <f>'Historical Prices'!F283/'Historical Prices'!F282-1</f>
        <v>1.2359602314307772E-2</v>
      </c>
      <c r="G285" s="9">
        <f t="shared" si="16"/>
        <v>8.2498428146998305E-3</v>
      </c>
      <c r="H285" s="6">
        <f t="shared" si="17"/>
        <v>8249.8428146998303</v>
      </c>
      <c r="I285" s="9">
        <f t="shared" si="8"/>
        <v>1.1878031356316293E-2</v>
      </c>
      <c r="J285">
        <f t="shared" si="9"/>
        <v>0</v>
      </c>
      <c r="K285" s="5">
        <f t="shared" si="10"/>
        <v>1.484376398694455E-2</v>
      </c>
      <c r="L285">
        <f t="shared" si="11"/>
        <v>0</v>
      </c>
      <c r="M285" s="9">
        <f t="shared" si="12"/>
        <v>2.4333172474090344E-2</v>
      </c>
      <c r="N285">
        <f t="shared" si="13"/>
        <v>0</v>
      </c>
      <c r="O285" s="5">
        <f t="shared" si="14"/>
        <v>2.1487438977236657E-2</v>
      </c>
      <c r="P285">
        <f t="shared" si="15"/>
        <v>0</v>
      </c>
    </row>
    <row r="286" spans="1:16" x14ac:dyDescent="0.25">
      <c r="A286" s="2">
        <f>'Historical Prices'!A284</f>
        <v>45531</v>
      </c>
      <c r="B286" s="3">
        <f>'Historical Prices'!C284/'Historical Prices'!C283-1</f>
        <v>-1.3414491055344646E-3</v>
      </c>
      <c r="C286" s="3">
        <f>'Historical Prices'!B284/'Historical Prices'!B283-1</f>
        <v>9.3564978639779639E-3</v>
      </c>
      <c r="D286" s="3">
        <f>'Historical Prices'!D284/'Historical Prices'!D283-1</f>
        <v>1.0755776296620612E-2</v>
      </c>
      <c r="E286" s="3">
        <f>'Historical Prices'!E284/'Historical Prices'!E283-1</f>
        <v>1.2765445817735754E-2</v>
      </c>
      <c r="F286" s="3">
        <f>'Historical Prices'!F284/'Historical Prices'!F283-1</f>
        <v>-4.4038103853389909E-3</v>
      </c>
      <c r="G286" s="9">
        <f t="shared" si="16"/>
        <v>5.3958981931389403E-3</v>
      </c>
      <c r="H286" s="6">
        <f t="shared" si="17"/>
        <v>5395.8981931389399</v>
      </c>
      <c r="I286" s="9">
        <f t="shared" si="8"/>
        <v>1.1878031356316293E-2</v>
      </c>
      <c r="J286">
        <f t="shared" si="9"/>
        <v>0</v>
      </c>
      <c r="K286" s="5">
        <f t="shared" si="10"/>
        <v>1.4839970070791388E-2</v>
      </c>
      <c r="L286">
        <f t="shared" si="11"/>
        <v>0</v>
      </c>
      <c r="M286" s="9">
        <f t="shared" si="12"/>
        <v>2.4333172474090344E-2</v>
      </c>
      <c r="N286">
        <f t="shared" si="13"/>
        <v>0</v>
      </c>
      <c r="O286" s="5">
        <f t="shared" si="14"/>
        <v>2.1489829597508146E-2</v>
      </c>
      <c r="P286">
        <f t="shared" si="15"/>
        <v>0</v>
      </c>
    </row>
    <row r="287" spans="1:16" x14ac:dyDescent="0.25">
      <c r="A287" s="2">
        <f>'Historical Prices'!A285</f>
        <v>45532</v>
      </c>
      <c r="B287" s="3">
        <f>'Historical Prices'!C285/'Historical Prices'!C284-1</f>
        <v>-3.9693942730445464E-4</v>
      </c>
      <c r="C287" s="3">
        <f>'Historical Prices'!B285/'Historical Prices'!B284-1</f>
        <v>-8.7196201338031187E-3</v>
      </c>
      <c r="D287" s="3">
        <f>'Historical Prices'!D285/'Historical Prices'!D284-1</f>
        <v>-2.0385412044178208E-3</v>
      </c>
      <c r="E287" s="3">
        <f>'Historical Prices'!E285/'Historical Prices'!E284-1</f>
        <v>2.0525252862150678E-2</v>
      </c>
      <c r="F287" s="3">
        <f>'Historical Prices'!F285/'Historical Prices'!F284-1</f>
        <v>6.1853260106981001E-3</v>
      </c>
      <c r="G287" s="9">
        <f t="shared" si="16"/>
        <v>2.8198845786007606E-3</v>
      </c>
      <c r="H287" s="6">
        <f t="shared" si="17"/>
        <v>2819.8845786007605</v>
      </c>
      <c r="I287" s="9">
        <f t="shared" si="8"/>
        <v>1.1878031356316293E-2</v>
      </c>
      <c r="J287">
        <f t="shared" si="9"/>
        <v>0</v>
      </c>
      <c r="K287" s="5">
        <f t="shared" si="10"/>
        <v>1.4811640823110463E-2</v>
      </c>
      <c r="L287">
        <f t="shared" si="11"/>
        <v>0</v>
      </c>
      <c r="M287" s="9">
        <f t="shared" si="12"/>
        <v>2.4333172474090344E-2</v>
      </c>
      <c r="N287">
        <f t="shared" si="13"/>
        <v>0</v>
      </c>
      <c r="O287" s="5">
        <f t="shared" si="14"/>
        <v>2.1462315256731861E-2</v>
      </c>
      <c r="P287">
        <f t="shared" si="15"/>
        <v>0</v>
      </c>
    </row>
    <row r="288" spans="1:16" x14ac:dyDescent="0.25">
      <c r="A288" s="2">
        <f>'Historical Prices'!A286</f>
        <v>45533</v>
      </c>
      <c r="B288" s="3">
        <f>'Historical Prices'!C286/'Historical Prices'!C285-1</f>
        <v>8.8576687860286718E-4</v>
      </c>
      <c r="C288" s="3">
        <f>'Historical Prices'!B286/'Historical Prices'!B285-1</f>
        <v>3.8004165254841293E-3</v>
      </c>
      <c r="D288" s="3">
        <f>'Historical Prices'!D286/'Historical Prices'!D285-1</f>
        <v>-1.5932757055200364E-3</v>
      </c>
      <c r="E288" s="3">
        <f>'Historical Prices'!E286/'Historical Prices'!E285-1</f>
        <v>-2.9653012141143131E-3</v>
      </c>
      <c r="F288" s="3">
        <f>'Historical Prices'!F286/'Historical Prices'!F285-1</f>
        <v>-1.4438838184275604E-2</v>
      </c>
      <c r="G288" s="9">
        <f t="shared" si="16"/>
        <v>-2.8095068576521869E-3</v>
      </c>
      <c r="H288" s="6">
        <f t="shared" si="17"/>
        <v>-2809.5068576521871</v>
      </c>
      <c r="I288" s="9">
        <f t="shared" si="8"/>
        <v>1.1878031356316293E-2</v>
      </c>
      <c r="J288">
        <f t="shared" si="9"/>
        <v>0</v>
      </c>
      <c r="K288" s="5">
        <f t="shared" si="10"/>
        <v>1.4765004366256364E-2</v>
      </c>
      <c r="L288">
        <f t="shared" si="11"/>
        <v>0</v>
      </c>
      <c r="M288" s="9">
        <f t="shared" si="12"/>
        <v>2.4333172474090344E-2</v>
      </c>
      <c r="N288">
        <f t="shared" si="13"/>
        <v>0</v>
      </c>
      <c r="O288" s="5">
        <f t="shared" si="14"/>
        <v>2.1409897104886739E-2</v>
      </c>
      <c r="P288">
        <f t="shared" si="15"/>
        <v>0</v>
      </c>
    </row>
    <row r="289" spans="1:16" x14ac:dyDescent="0.25">
      <c r="A289" s="2">
        <f>'Historical Prices'!A287</f>
        <v>45534</v>
      </c>
      <c r="B289" s="3">
        <f>'Historical Prices'!C287/'Historical Prices'!C286-1</f>
        <v>-1.0069463873005891E-3</v>
      </c>
      <c r="C289" s="3">
        <f>'Historical Prices'!B287/'Historical Prices'!B286-1</f>
        <v>-1.2763645476032703E-4</v>
      </c>
      <c r="D289" s="3">
        <f>'Historical Prices'!D287/'Historical Prices'!D286-1</f>
        <v>5.9741410230671477E-3</v>
      </c>
      <c r="E289" s="3">
        <f>'Historical Prices'!E287/'Historical Prices'!E286-1</f>
        <v>5.3534435466917607E-3</v>
      </c>
      <c r="F289" s="3">
        <f>'Historical Prices'!F287/'Historical Prices'!F286-1</f>
        <v>1.7333834746488863E-2</v>
      </c>
      <c r="G289" s="9">
        <f t="shared" si="16"/>
        <v>5.4583093566477787E-3</v>
      </c>
      <c r="H289" s="6">
        <f t="shared" si="17"/>
        <v>5458.3093566477792</v>
      </c>
      <c r="I289" s="9">
        <f t="shared" si="8"/>
        <v>1.1878031356316293E-2</v>
      </c>
      <c r="J289">
        <f t="shared" si="9"/>
        <v>0</v>
      </c>
      <c r="K289" s="5">
        <f t="shared" si="10"/>
        <v>1.4793490128422728E-2</v>
      </c>
      <c r="L289">
        <f t="shared" si="11"/>
        <v>0</v>
      </c>
      <c r="M289" s="9">
        <f t="shared" si="12"/>
        <v>2.4333172474090344E-2</v>
      </c>
      <c r="N289">
        <f t="shared" si="13"/>
        <v>0</v>
      </c>
      <c r="O289" s="5">
        <f t="shared" si="14"/>
        <v>2.144015791307307E-2</v>
      </c>
      <c r="P289">
        <f t="shared" si="15"/>
        <v>0</v>
      </c>
    </row>
    <row r="290" spans="1:16" x14ac:dyDescent="0.25">
      <c r="A290" s="2">
        <f>'Historical Prices'!A288</f>
        <v>45537</v>
      </c>
      <c r="B290" s="3">
        <f>'Historical Prices'!C288/'Historical Prices'!C287-1</f>
        <v>-6.0786546378207573E-3</v>
      </c>
      <c r="C290" s="3">
        <f>'Historical Prices'!B288/'Historical Prices'!B287-1</f>
        <v>1.1529529607426703E-2</v>
      </c>
      <c r="D290" s="3">
        <f>'Historical Prices'!D288/'Historical Prices'!D287-1</f>
        <v>6.1015454187263174E-4</v>
      </c>
      <c r="E290" s="3">
        <f>'Historical Prices'!E288/'Historical Prices'!E287-1</f>
        <v>1.0701319678874999E-2</v>
      </c>
      <c r="F290" s="3">
        <f>'Historical Prices'!F288/'Historical Prices'!F287-1</f>
        <v>-1.0123333583609506E-2</v>
      </c>
      <c r="G290" s="9">
        <f t="shared" si="16"/>
        <v>1.0009719557361125E-3</v>
      </c>
      <c r="H290" s="6">
        <f t="shared" si="17"/>
        <v>1000.9719557361125</v>
      </c>
      <c r="I290" s="9">
        <f t="shared" si="8"/>
        <v>1.1878031356316293E-2</v>
      </c>
      <c r="J290">
        <f t="shared" si="9"/>
        <v>0</v>
      </c>
      <c r="K290" s="5">
        <f t="shared" si="10"/>
        <v>1.4779335692400938E-2</v>
      </c>
      <c r="L290">
        <f t="shared" si="11"/>
        <v>0</v>
      </c>
      <c r="M290" s="9">
        <f t="shared" si="12"/>
        <v>2.4333172474090344E-2</v>
      </c>
      <c r="N290">
        <f t="shared" si="13"/>
        <v>0</v>
      </c>
      <c r="O290" s="5">
        <f t="shared" si="14"/>
        <v>2.1428392028610983E-2</v>
      </c>
      <c r="P290">
        <f t="shared" si="15"/>
        <v>0</v>
      </c>
    </row>
    <row r="291" spans="1:16" x14ac:dyDescent="0.25">
      <c r="A291" s="2">
        <f>'Historical Prices'!A289</f>
        <v>45538</v>
      </c>
      <c r="B291" s="3">
        <f>'Historical Prices'!C289/'Historical Prices'!C288-1</f>
        <v>6.3923401686916126E-3</v>
      </c>
      <c r="C291" s="3">
        <f>'Historical Prices'!B289/'Historical Prices'!B288-1</f>
        <v>2.3551770285956675E-3</v>
      </c>
      <c r="D291" s="3">
        <f>'Historical Prices'!D289/'Historical Prices'!D288-1</f>
        <v>1.4431552320012253E-2</v>
      </c>
      <c r="E291" s="3">
        <f>'Historical Prices'!E289/'Historical Prices'!E288-1</f>
        <v>-1.1835163645262714E-2</v>
      </c>
      <c r="F291" s="3">
        <f>'Historical Prices'!F289/'Historical Prices'!F288-1</f>
        <v>2.8268949316936354E-3</v>
      </c>
      <c r="G291" s="9">
        <f t="shared" si="16"/>
        <v>3.436390297510257E-3</v>
      </c>
      <c r="H291" s="6">
        <f t="shared" si="17"/>
        <v>3436.3902975102569</v>
      </c>
      <c r="I291" s="9">
        <f t="shared" si="8"/>
        <v>1.1878031356316293E-2</v>
      </c>
      <c r="J291">
        <f t="shared" si="9"/>
        <v>0</v>
      </c>
      <c r="K291" s="5">
        <f t="shared" si="10"/>
        <v>1.4791999271288245E-2</v>
      </c>
      <c r="L291">
        <f t="shared" si="11"/>
        <v>0</v>
      </c>
      <c r="M291" s="9">
        <f t="shared" si="12"/>
        <v>2.4333172474090344E-2</v>
      </c>
      <c r="N291">
        <f t="shared" si="13"/>
        <v>0</v>
      </c>
      <c r="O291" s="5">
        <f t="shared" si="14"/>
        <v>2.1434871090698655E-2</v>
      </c>
      <c r="P291">
        <f t="shared" si="15"/>
        <v>0</v>
      </c>
    </row>
    <row r="292" spans="1:16" x14ac:dyDescent="0.25">
      <c r="A292" s="2">
        <f>'Historical Prices'!A290</f>
        <v>45539</v>
      </c>
      <c r="B292" s="3">
        <f>'Historical Prices'!C290/'Historical Prices'!C289-1</f>
        <v>2.7178828534422106E-3</v>
      </c>
      <c r="C292" s="3">
        <f>'Historical Prices'!B290/'Historical Prices'!B289-1</f>
        <v>-1.1665000125696046E-2</v>
      </c>
      <c r="D292" s="3">
        <f>'Historical Prices'!D290/'Historical Prices'!D289-1</f>
        <v>-9.0967478947315827E-3</v>
      </c>
      <c r="E292" s="3">
        <f>'Historical Prices'!E290/'Historical Prices'!E289-1</f>
        <v>-9.6845385349200175E-3</v>
      </c>
      <c r="F292" s="3">
        <f>'Historical Prices'!F290/'Historical Prices'!F289-1</f>
        <v>-1.2657886474262581E-2</v>
      </c>
      <c r="G292" s="9">
        <f t="shared" si="16"/>
        <v>-7.8780707990098453E-3</v>
      </c>
      <c r="H292" s="6">
        <f t="shared" si="17"/>
        <v>-7878.0707990098454</v>
      </c>
      <c r="I292" s="9">
        <f t="shared" si="8"/>
        <v>1.1878031356316293E-2</v>
      </c>
      <c r="J292">
        <f t="shared" si="9"/>
        <v>0</v>
      </c>
      <c r="K292" s="5">
        <f t="shared" si="10"/>
        <v>1.4787471180519141E-2</v>
      </c>
      <c r="L292">
        <f t="shared" si="11"/>
        <v>0</v>
      </c>
      <c r="M292" s="9">
        <f t="shared" si="12"/>
        <v>2.4333172474090344E-2</v>
      </c>
      <c r="N292">
        <f t="shared" si="13"/>
        <v>0</v>
      </c>
      <c r="O292" s="5">
        <f t="shared" si="14"/>
        <v>2.1430950045390855E-2</v>
      </c>
      <c r="P292">
        <f t="shared" si="15"/>
        <v>0</v>
      </c>
    </row>
    <row r="293" spans="1:16" x14ac:dyDescent="0.25">
      <c r="A293" s="2">
        <f>'Historical Prices'!A291</f>
        <v>45540</v>
      </c>
      <c r="B293" s="3">
        <f>'Historical Prices'!C291/'Historical Prices'!C290-1</f>
        <v>2.2231685230222897E-3</v>
      </c>
      <c r="C293" s="3">
        <f>'Historical Prices'!B291/'Historical Prices'!B290-1</f>
        <v>2.420045325755904E-3</v>
      </c>
      <c r="D293" s="3">
        <f>'Historical Prices'!D291/'Historical Prices'!D290-1</f>
        <v>-3.2348029479245533E-4</v>
      </c>
      <c r="E293" s="3">
        <f>'Historical Prices'!E291/'Historical Prices'!E290-1</f>
        <v>5.5658485466913987E-3</v>
      </c>
      <c r="F293" s="3">
        <f>'Historical Prices'!F291/'Historical Prices'!F290-1</f>
        <v>-9.6376879099967505E-3</v>
      </c>
      <c r="G293" s="9">
        <f t="shared" si="16"/>
        <v>5.4402999069820632E-6</v>
      </c>
      <c r="H293" s="6">
        <f t="shared" si="17"/>
        <v>5.4402999069820632</v>
      </c>
      <c r="I293" s="9">
        <f t="shared" si="8"/>
        <v>1.1878031356316293E-2</v>
      </c>
      <c r="J293">
        <f t="shared" si="9"/>
        <v>0</v>
      </c>
      <c r="K293" s="5">
        <f t="shared" si="10"/>
        <v>1.4814548749331366E-2</v>
      </c>
      <c r="L293">
        <f t="shared" si="11"/>
        <v>0</v>
      </c>
      <c r="M293" s="9">
        <f t="shared" si="12"/>
        <v>2.4333172474090344E-2</v>
      </c>
      <c r="N293">
        <f t="shared" si="13"/>
        <v>0</v>
      </c>
      <c r="O293" s="5">
        <f t="shared" si="14"/>
        <v>2.1464356678108077E-2</v>
      </c>
      <c r="P293">
        <f t="shared" si="15"/>
        <v>0</v>
      </c>
    </row>
    <row r="294" spans="1:16" x14ac:dyDescent="0.25">
      <c r="A294" s="2">
        <f>'Historical Prices'!A292</f>
        <v>45541</v>
      </c>
      <c r="B294" s="3">
        <f>'Historical Prices'!C292/'Historical Prices'!C291-1</f>
        <v>-5.1658736366176905E-3</v>
      </c>
      <c r="C294" s="3">
        <f>'Historical Prices'!B292/'Historical Prices'!B291-1</f>
        <v>-1.8465907178405461E-2</v>
      </c>
      <c r="D294" s="3">
        <f>'Historical Prices'!D292/'Historical Prices'!D291-1</f>
        <v>-2.2492868885859663E-2</v>
      </c>
      <c r="E294" s="3">
        <f>'Historical Prices'!E292/'Historical Prices'!E291-1</f>
        <v>-1.6191242080502377E-2</v>
      </c>
      <c r="F294" s="3">
        <f>'Historical Prices'!F292/'Historical Prices'!F291-1</f>
        <v>-9.1806971203745036E-3</v>
      </c>
      <c r="G294" s="9">
        <f t="shared" si="16"/>
        <v>-1.4373430082425261E-2</v>
      </c>
      <c r="H294" s="6">
        <f t="shared" si="17"/>
        <v>-14373.43008242526</v>
      </c>
      <c r="I294" s="9">
        <f t="shared" si="8"/>
        <v>1.1878031356316293E-2</v>
      </c>
      <c r="J294">
        <f t="shared" si="9"/>
        <v>1</v>
      </c>
      <c r="K294" s="5">
        <f t="shared" si="10"/>
        <v>1.4831663644453734E-2</v>
      </c>
      <c r="L294">
        <f t="shared" si="11"/>
        <v>0</v>
      </c>
      <c r="M294" s="9">
        <f t="shared" si="12"/>
        <v>2.4333172474090344E-2</v>
      </c>
      <c r="N294">
        <f t="shared" si="13"/>
        <v>0</v>
      </c>
      <c r="O294" s="5">
        <f t="shared" si="14"/>
        <v>2.1477490310441966E-2</v>
      </c>
      <c r="P294">
        <f t="shared" si="15"/>
        <v>0</v>
      </c>
    </row>
    <row r="295" spans="1:16" x14ac:dyDescent="0.25">
      <c r="A295" s="2">
        <f>'Historical Prices'!A293</f>
        <v>45544</v>
      </c>
      <c r="B295" s="3">
        <f>'Historical Prices'!C293/'Historical Prices'!C292-1</f>
        <v>5.8341508028409983E-3</v>
      </c>
      <c r="C295" s="3">
        <f>'Historical Prices'!B293/'Historical Prices'!B292-1</f>
        <v>1.0442155831773547E-2</v>
      </c>
      <c r="D295" s="3">
        <f>'Historical Prices'!D293/'Historical Prices'!D292-1</f>
        <v>2.222403618339075E-2</v>
      </c>
      <c r="E295" s="3">
        <f>'Historical Prices'!E293/'Historical Prices'!E292-1</f>
        <v>-3.7856952736886607E-3</v>
      </c>
      <c r="F295" s="3">
        <f>'Historical Prices'!F293/'Historical Prices'!F292-1</f>
        <v>3.9842745264417889E-3</v>
      </c>
      <c r="G295" s="9">
        <f t="shared" si="16"/>
        <v>8.2919672924372419E-3</v>
      </c>
      <c r="H295" s="6">
        <f t="shared" si="17"/>
        <v>8291.9672924372426</v>
      </c>
      <c r="I295" s="9">
        <f t="shared" si="8"/>
        <v>1.2214908460972293E-2</v>
      </c>
      <c r="J295">
        <f t="shared" si="9"/>
        <v>0</v>
      </c>
      <c r="K295" s="5">
        <f t="shared" si="10"/>
        <v>1.4974663703046473E-2</v>
      </c>
      <c r="L295">
        <f t="shared" si="11"/>
        <v>0</v>
      </c>
      <c r="M295" s="9">
        <f t="shared" si="12"/>
        <v>2.4333172474090344E-2</v>
      </c>
      <c r="N295">
        <f t="shared" si="13"/>
        <v>0</v>
      </c>
      <c r="O295" s="5">
        <f t="shared" si="14"/>
        <v>2.1654335382919304E-2</v>
      </c>
      <c r="P295">
        <f t="shared" si="15"/>
        <v>0</v>
      </c>
    </row>
    <row r="296" spans="1:16" x14ac:dyDescent="0.25">
      <c r="A296" s="2">
        <f>'Historical Prices'!A294</f>
        <v>45545</v>
      </c>
      <c r="B296" s="3">
        <f>'Historical Prices'!C294/'Historical Prices'!C293-1</f>
        <v>2.3381968683697796E-3</v>
      </c>
      <c r="C296" s="3">
        <f>'Historical Prices'!B294/'Historical Prices'!B293-1</f>
        <v>1.3964246341409803E-2</v>
      </c>
      <c r="D296" s="3">
        <f>'Historical Prices'!D294/'Historical Prices'!D293-1</f>
        <v>1.862446727867173E-3</v>
      </c>
      <c r="E296" s="3">
        <f>'Historical Prices'!E294/'Historical Prices'!E293-1</f>
        <v>9.3157886619932295E-3</v>
      </c>
      <c r="F296" s="3">
        <f>'Historical Prices'!F294/'Historical Prices'!F293-1</f>
        <v>-6.9587418281902291E-3</v>
      </c>
      <c r="G296" s="9">
        <f t="shared" si="16"/>
        <v>3.8625329352342096E-3</v>
      </c>
      <c r="H296" s="6">
        <f t="shared" si="17"/>
        <v>3862.5329352342096</v>
      </c>
      <c r="I296" s="9">
        <f t="shared" si="8"/>
        <v>1.2214908460972293E-2</v>
      </c>
      <c r="J296">
        <f t="shared" si="9"/>
        <v>0</v>
      </c>
      <c r="K296" s="5">
        <f t="shared" si="10"/>
        <v>1.4966090405755465E-2</v>
      </c>
      <c r="L296">
        <f t="shared" si="11"/>
        <v>0</v>
      </c>
      <c r="M296" s="9">
        <f t="shared" si="12"/>
        <v>2.4333172474090344E-2</v>
      </c>
      <c r="N296">
        <f t="shared" si="13"/>
        <v>0</v>
      </c>
      <c r="O296" s="5">
        <f t="shared" si="14"/>
        <v>2.1652780466152648E-2</v>
      </c>
      <c r="P296">
        <f t="shared" si="15"/>
        <v>0</v>
      </c>
    </row>
    <row r="297" spans="1:16" x14ac:dyDescent="0.25">
      <c r="A297" s="2">
        <f>'Historical Prices'!A295</f>
        <v>45546</v>
      </c>
      <c r="B297" s="3">
        <f>'Historical Prices'!C295/'Historical Prices'!C294-1</f>
        <v>-3.9082257005866872E-3</v>
      </c>
      <c r="C297" s="3">
        <f>'Historical Prices'!B295/'Historical Prices'!B294-1</f>
        <v>-9.2659449796239635E-4</v>
      </c>
      <c r="D297" s="3">
        <f>'Historical Prices'!D295/'Historical Prices'!D294-1</f>
        <v>-7.6787628319041623E-4</v>
      </c>
      <c r="E297" s="3">
        <f>'Historical Prices'!E295/'Historical Prices'!E294-1</f>
        <v>-1.1244564385856082E-3</v>
      </c>
      <c r="F297" s="3">
        <f>'Historical Prices'!F295/'Historical Prices'!F294-1</f>
        <v>-1.3289936766137878E-2</v>
      </c>
      <c r="G297" s="9">
        <f t="shared" si="16"/>
        <v>-3.9404638482418665E-3</v>
      </c>
      <c r="H297" s="6">
        <f t="shared" si="17"/>
        <v>-3940.4638482418663</v>
      </c>
      <c r="I297" s="9">
        <f t="shared" si="8"/>
        <v>1.2214908460972293E-2</v>
      </c>
      <c r="J297">
        <f t="shared" si="9"/>
        <v>0</v>
      </c>
      <c r="K297" s="5">
        <f t="shared" si="10"/>
        <v>1.4929765233413919E-2</v>
      </c>
      <c r="L297">
        <f t="shared" si="11"/>
        <v>0</v>
      </c>
      <c r="M297" s="9">
        <f t="shared" si="12"/>
        <v>2.4333172474090344E-2</v>
      </c>
      <c r="N297">
        <f t="shared" si="13"/>
        <v>0</v>
      </c>
      <c r="O297" s="5">
        <f t="shared" si="14"/>
        <v>2.1614037648030666E-2</v>
      </c>
      <c r="P297">
        <f t="shared" si="15"/>
        <v>0</v>
      </c>
    </row>
    <row r="298" spans="1:16" x14ac:dyDescent="0.25">
      <c r="A298" s="2">
        <f>'Historical Prices'!A296</f>
        <v>45547</v>
      </c>
      <c r="B298" s="3">
        <f>'Historical Prices'!C296/'Historical Prices'!C295-1</f>
        <v>1.3808620248827896E-2</v>
      </c>
      <c r="C298" s="3">
        <f>'Historical Prices'!B296/'Historical Prices'!B295-1</f>
        <v>1.4543511678270171E-2</v>
      </c>
      <c r="D298" s="3">
        <f>'Historical Prices'!D296/'Historical Prices'!D295-1</f>
        <v>1.2779679016041934E-2</v>
      </c>
      <c r="E298" s="3">
        <f>'Historical Prices'!E296/'Historical Prices'!E295-1</f>
        <v>2.1097876309107644E-2</v>
      </c>
      <c r="F298" s="3">
        <f>'Historical Prices'!F296/'Historical Prices'!F295-1</f>
        <v>3.264569651710536E-2</v>
      </c>
      <c r="G298" s="9">
        <f t="shared" si="16"/>
        <v>1.8687307118422911E-2</v>
      </c>
      <c r="H298" s="6">
        <f t="shared" si="17"/>
        <v>18687.307118422912</v>
      </c>
      <c r="I298" s="9">
        <f t="shared" si="8"/>
        <v>1.2214908460972293E-2</v>
      </c>
      <c r="J298">
        <f t="shared" si="9"/>
        <v>0</v>
      </c>
      <c r="K298" s="5">
        <f t="shared" si="10"/>
        <v>1.496939739156874E-2</v>
      </c>
      <c r="L298">
        <f t="shared" si="11"/>
        <v>0</v>
      </c>
      <c r="M298" s="9">
        <f t="shared" si="12"/>
        <v>2.4333172474090344E-2</v>
      </c>
      <c r="N298">
        <f t="shared" si="13"/>
        <v>0</v>
      </c>
      <c r="O298" s="5">
        <f t="shared" si="14"/>
        <v>2.1648234145596024E-2</v>
      </c>
      <c r="P298">
        <f t="shared" si="15"/>
        <v>0</v>
      </c>
    </row>
    <row r="299" spans="1:16" x14ac:dyDescent="0.25">
      <c r="A299" s="2">
        <f>'Historical Prices'!A297</f>
        <v>45548</v>
      </c>
      <c r="B299" s="3">
        <f>'Historical Prices'!C297/'Historical Prices'!C296-1</f>
        <v>-3.9006813627795456E-4</v>
      </c>
      <c r="C299" s="3">
        <f>'Historical Prices'!B297/'Historical Prices'!B296-1</f>
        <v>1.1717225497074102E-2</v>
      </c>
      <c r="D299" s="3">
        <f>'Historical Prices'!D297/'Historical Prices'!D296-1</f>
        <v>-1.4376894570958809E-3</v>
      </c>
      <c r="E299" s="3">
        <f>'Historical Prices'!E297/'Historical Prices'!E296-1</f>
        <v>-3.2555872344706138E-3</v>
      </c>
      <c r="F299" s="3">
        <f>'Historical Prices'!F297/'Historical Prices'!F296-1</f>
        <v>-6.5662532869825707E-4</v>
      </c>
      <c r="G299" s="9">
        <f t="shared" si="16"/>
        <v>1.0219919748083142E-3</v>
      </c>
      <c r="H299" s="6">
        <f t="shared" si="17"/>
        <v>1021.9919748083142</v>
      </c>
      <c r="I299" s="9">
        <f t="shared" si="8"/>
        <v>1.2214908460972293E-2</v>
      </c>
      <c r="J299">
        <f t="shared" si="9"/>
        <v>0</v>
      </c>
      <c r="K299" s="5">
        <f t="shared" si="10"/>
        <v>1.4997866879743024E-2</v>
      </c>
      <c r="L299">
        <f t="shared" si="11"/>
        <v>0</v>
      </c>
      <c r="M299" s="9">
        <f t="shared" si="12"/>
        <v>2.4333172474090344E-2</v>
      </c>
      <c r="N299">
        <f t="shared" si="13"/>
        <v>0</v>
      </c>
      <c r="O299" s="5">
        <f t="shared" si="14"/>
        <v>2.1719185662044012E-2</v>
      </c>
      <c r="P299">
        <f t="shared" si="15"/>
        <v>0</v>
      </c>
    </row>
    <row r="300" spans="1:16" x14ac:dyDescent="0.25">
      <c r="A300" s="2">
        <f>'Historical Prices'!A298</f>
        <v>45551</v>
      </c>
      <c r="B300" s="3">
        <f>'Historical Prices'!C298/'Historical Prices'!C297-1</f>
        <v>3.001352371315269E-3</v>
      </c>
      <c r="C300" s="3">
        <f>'Historical Prices'!B298/'Historical Prices'!B297-1</f>
        <v>1.1170963108534382E-2</v>
      </c>
      <c r="D300" s="3">
        <f>'Historical Prices'!D298/'Historical Prices'!D297-1</f>
        <v>9.9972597743804847E-3</v>
      </c>
      <c r="E300" s="3">
        <f>'Historical Prices'!E298/'Historical Prices'!E297-1</f>
        <v>3.1633497118643827E-3</v>
      </c>
      <c r="F300" s="3">
        <f>'Historical Prices'!F298/'Historical Prices'!F297-1</f>
        <v>6.6808791395960299E-3</v>
      </c>
      <c r="G300" s="9">
        <f t="shared" si="16"/>
        <v>6.8417642223240855E-3</v>
      </c>
      <c r="H300" s="6">
        <f t="shared" si="17"/>
        <v>6841.7642223240855</v>
      </c>
      <c r="I300" s="9">
        <f t="shared" si="8"/>
        <v>1.2214908460972293E-2</v>
      </c>
      <c r="J300">
        <f t="shared" si="9"/>
        <v>0</v>
      </c>
      <c r="K300" s="5">
        <f t="shared" si="10"/>
        <v>1.4992841423097793E-2</v>
      </c>
      <c r="L300">
        <f t="shared" si="11"/>
        <v>0</v>
      </c>
      <c r="M300" s="9">
        <f t="shared" si="12"/>
        <v>2.4333172474090344E-2</v>
      </c>
      <c r="N300">
        <f t="shared" si="13"/>
        <v>0</v>
      </c>
      <c r="O300" s="5">
        <f t="shared" si="14"/>
        <v>2.1713924586046131E-2</v>
      </c>
      <c r="P300">
        <f t="shared" si="15"/>
        <v>0</v>
      </c>
    </row>
    <row r="301" spans="1:16" x14ac:dyDescent="0.25">
      <c r="A301" s="2">
        <f>'Historical Prices'!A299</f>
        <v>45552</v>
      </c>
      <c r="B301" s="3">
        <f>'Historical Prices'!C299/'Historical Prices'!C298-1</f>
        <v>-1.2866812347533951E-3</v>
      </c>
      <c r="C301" s="3">
        <f>'Historical Prices'!B299/'Historical Prices'!B298-1</f>
        <v>8.5296698527126402E-4</v>
      </c>
      <c r="D301" s="3">
        <f>'Historical Prices'!D299/'Historical Prices'!D298-1</f>
        <v>4.157273868790945E-3</v>
      </c>
      <c r="E301" s="3">
        <f>'Historical Prices'!E299/'Historical Prices'!E298-1</f>
        <v>1.1793524688390455E-3</v>
      </c>
      <c r="F301" s="3">
        <f>'Historical Prices'!F299/'Historical Prices'!F298-1</f>
        <v>1.097056292407883E-2</v>
      </c>
      <c r="G301" s="9">
        <f t="shared" si="16"/>
        <v>3.168770735267841E-3</v>
      </c>
      <c r="H301" s="6">
        <f t="shared" si="17"/>
        <v>3168.7707352678408</v>
      </c>
      <c r="I301" s="9">
        <f t="shared" si="8"/>
        <v>1.2214908460972293E-2</v>
      </c>
      <c r="J301">
        <f t="shared" si="9"/>
        <v>0</v>
      </c>
      <c r="K301" s="5">
        <f t="shared" si="10"/>
        <v>1.4962196696443017E-2</v>
      </c>
      <c r="L301">
        <f t="shared" si="11"/>
        <v>0</v>
      </c>
      <c r="M301" s="9">
        <f t="shared" si="12"/>
        <v>2.4333172474090344E-2</v>
      </c>
      <c r="N301">
        <f t="shared" si="13"/>
        <v>0</v>
      </c>
      <c r="O301" s="5">
        <f t="shared" si="14"/>
        <v>2.1685822399272942E-2</v>
      </c>
      <c r="P301">
        <f t="shared" si="15"/>
        <v>0</v>
      </c>
    </row>
    <row r="302" spans="1:16" x14ac:dyDescent="0.25">
      <c r="A302" s="2">
        <f>'Historical Prices'!A300</f>
        <v>45553</v>
      </c>
      <c r="B302" s="3">
        <f>'Historical Prices'!C300/'Historical Prices'!C299-1</f>
        <v>1.5580045676305998E-2</v>
      </c>
      <c r="C302" s="3">
        <f>'Historical Prices'!B300/'Historical Prices'!B299-1</f>
        <v>6.7770351275129315E-3</v>
      </c>
      <c r="D302" s="3">
        <f>'Historical Prices'!D300/'Historical Prices'!D299-1</f>
        <v>1.5968714658405325E-2</v>
      </c>
      <c r="E302" s="3">
        <f>'Historical Prices'!E300/'Historical Prices'!E299-1</f>
        <v>-3.0933988964883752E-2</v>
      </c>
      <c r="F302" s="3">
        <f>'Historical Prices'!F300/'Historical Prices'!F299-1</f>
        <v>7.371786808574976E-3</v>
      </c>
      <c r="G302" s="9">
        <f t="shared" si="16"/>
        <v>3.8946575136293384E-3</v>
      </c>
      <c r="H302" s="6">
        <f t="shared" si="17"/>
        <v>3894.6575136293386</v>
      </c>
      <c r="I302" s="9">
        <f t="shared" si="8"/>
        <v>1.2214908460972293E-2</v>
      </c>
      <c r="J302">
        <f t="shared" si="9"/>
        <v>0</v>
      </c>
      <c r="K302" s="5">
        <f t="shared" si="10"/>
        <v>1.4963543864918846E-2</v>
      </c>
      <c r="L302">
        <f t="shared" si="11"/>
        <v>0</v>
      </c>
      <c r="M302" s="9">
        <f t="shared" si="12"/>
        <v>2.4333172474090344E-2</v>
      </c>
      <c r="N302">
        <f t="shared" si="13"/>
        <v>0</v>
      </c>
      <c r="O302" s="5">
        <f t="shared" si="14"/>
        <v>2.1686851571766284E-2</v>
      </c>
      <c r="P302">
        <f t="shared" si="15"/>
        <v>0</v>
      </c>
    </row>
    <row r="303" spans="1:16" x14ac:dyDescent="0.25">
      <c r="A303" s="2">
        <f>'Historical Prices'!A301</f>
        <v>45554</v>
      </c>
      <c r="B303" s="3">
        <f>'Historical Prices'!C301/'Historical Prices'!C300-1</f>
        <v>8.0835539022821035E-3</v>
      </c>
      <c r="C303" s="3">
        <f>'Historical Prices'!B301/'Historical Prices'!B300-1</f>
        <v>1.813851092111296E-3</v>
      </c>
      <c r="D303" s="3">
        <f>'Historical Prices'!D301/'Historical Prices'!D300-1</f>
        <v>2.8331012213609341E-3</v>
      </c>
      <c r="E303" s="3">
        <f>'Historical Prices'!E301/'Historical Prices'!E300-1</f>
        <v>1.0834462981330617E-3</v>
      </c>
      <c r="F303" s="3">
        <f>'Historical Prices'!F301/'Historical Prices'!F300-1</f>
        <v>-3.8102649916826881E-3</v>
      </c>
      <c r="G303" s="9">
        <f t="shared" si="16"/>
        <v>2.1463450946339222E-3</v>
      </c>
      <c r="H303" s="6">
        <f t="shared" si="17"/>
        <v>2146.3450946339221</v>
      </c>
      <c r="I303" s="9">
        <f t="shared" si="8"/>
        <v>1.2214908460972293E-2</v>
      </c>
      <c r="J303">
        <f t="shared" si="9"/>
        <v>0</v>
      </c>
      <c r="K303" s="5">
        <f t="shared" si="10"/>
        <v>1.4963425041733553E-2</v>
      </c>
      <c r="L303">
        <f t="shared" si="11"/>
        <v>0</v>
      </c>
      <c r="M303" s="9">
        <f t="shared" si="12"/>
        <v>2.4333172474090344E-2</v>
      </c>
      <c r="N303">
        <f t="shared" si="13"/>
        <v>0</v>
      </c>
      <c r="O303" s="5">
        <f t="shared" si="14"/>
        <v>2.1686770801149544E-2</v>
      </c>
      <c r="P303">
        <f t="shared" si="15"/>
        <v>0</v>
      </c>
    </row>
    <row r="304" spans="1:16" x14ac:dyDescent="0.25">
      <c r="A304" s="2">
        <f>'Historical Prices'!A302</f>
        <v>45555</v>
      </c>
      <c r="B304" s="3">
        <f>'Historical Prices'!C302/'Historical Prices'!C301-1</f>
        <v>1.9139563602785792E-2</v>
      </c>
      <c r="C304" s="3">
        <f>'Historical Prices'!B302/'Historical Prices'!B301-1</f>
        <v>1.8508083745754078E-3</v>
      </c>
      <c r="D304" s="3">
        <f>'Historical Prices'!D302/'Historical Prices'!D301-1</f>
        <v>3.5952014821392098E-2</v>
      </c>
      <c r="E304" s="3">
        <f>'Historical Prices'!E302/'Historical Prices'!E301-1</f>
        <v>6.0976450022929285E-3</v>
      </c>
      <c r="F304" s="3">
        <f>'Historical Prices'!F302/'Historical Prices'!F301-1</f>
        <v>5.4816908940820364E-2</v>
      </c>
      <c r="G304" s="9">
        <f t="shared" si="16"/>
        <v>2.4271854644169623E-2</v>
      </c>
      <c r="H304" s="6">
        <f t="shared" si="17"/>
        <v>24271.854644169623</v>
      </c>
      <c r="I304" s="9">
        <f t="shared" si="8"/>
        <v>1.2214908460972293E-2</v>
      </c>
      <c r="J304">
        <f t="shared" si="9"/>
        <v>0</v>
      </c>
      <c r="K304" s="5">
        <f t="shared" si="10"/>
        <v>1.4970561484159673E-2</v>
      </c>
      <c r="L304">
        <f t="shared" si="11"/>
        <v>0</v>
      </c>
      <c r="M304" s="9">
        <f t="shared" si="12"/>
        <v>2.4333172474090344E-2</v>
      </c>
      <c r="N304">
        <f t="shared" si="13"/>
        <v>0</v>
      </c>
      <c r="O304" s="5">
        <f t="shared" si="14"/>
        <v>2.1684965878485011E-2</v>
      </c>
      <c r="P304">
        <f t="shared" si="15"/>
        <v>0</v>
      </c>
    </row>
    <row r="305" spans="1:16" x14ac:dyDescent="0.25">
      <c r="A305" s="2">
        <f>'Historical Prices'!A303</f>
        <v>45558</v>
      </c>
      <c r="B305" s="3">
        <f>'Historical Prices'!C303/'Historical Prices'!C302-1</f>
        <v>1.0682288151857122E-2</v>
      </c>
      <c r="C305" s="3">
        <f>'Historical Prices'!B303/'Historical Prices'!B302-1</f>
        <v>1.4458170201792075E-3</v>
      </c>
      <c r="D305" s="3">
        <f>'Historical Prices'!D303/'Historical Prices'!D302-1</f>
        <v>-1.2365074575075186E-2</v>
      </c>
      <c r="E305" s="3">
        <f>'Historical Prices'!E303/'Historical Prices'!E302-1</f>
        <v>-4.8800335866030498E-3</v>
      </c>
      <c r="F305" s="3">
        <f>'Historical Prices'!F303/'Historical Prices'!F302-1</f>
        <v>3.3532666264556754E-2</v>
      </c>
      <c r="G305" s="9">
        <f t="shared" si="16"/>
        <v>5.2673954966488074E-3</v>
      </c>
      <c r="H305" s="6">
        <f t="shared" si="17"/>
        <v>5267.3954966488072</v>
      </c>
      <c r="I305" s="9">
        <f t="shared" si="8"/>
        <v>1.2214908460972293E-2</v>
      </c>
      <c r="J305">
        <f t="shared" si="9"/>
        <v>0</v>
      </c>
      <c r="K305" s="5">
        <f t="shared" si="10"/>
        <v>1.5062722689026241E-2</v>
      </c>
      <c r="L305">
        <f t="shared" si="11"/>
        <v>0</v>
      </c>
      <c r="M305" s="9">
        <f t="shared" si="12"/>
        <v>2.4333172474090344E-2</v>
      </c>
      <c r="N305">
        <f t="shared" si="13"/>
        <v>0</v>
      </c>
      <c r="O305" s="5">
        <f t="shared" si="14"/>
        <v>2.1849345266366858E-2</v>
      </c>
      <c r="P305">
        <f t="shared" si="15"/>
        <v>0</v>
      </c>
    </row>
    <row r="306" spans="1:16" x14ac:dyDescent="0.25">
      <c r="A306" s="2">
        <f>'Historical Prices'!A304</f>
        <v>45559</v>
      </c>
      <c r="B306" s="3">
        <f>'Historical Prices'!C304/'Historical Prices'!C303-1</f>
        <v>4.6881255544901634E-3</v>
      </c>
      <c r="C306" s="3">
        <f>'Historical Prices'!B304/'Historical Prices'!B303-1</f>
        <v>-5.8148315223790492E-3</v>
      </c>
      <c r="D306" s="3">
        <f>'Historical Prices'!D304/'Historical Prices'!D303-1</f>
        <v>-2.4963756008321569E-3</v>
      </c>
      <c r="E306" s="3">
        <f>'Historical Prices'!E304/'Historical Prices'!E303-1</f>
        <v>1.1337859940419026E-3</v>
      </c>
      <c r="F306" s="3">
        <f>'Historical Prices'!F304/'Historical Prices'!F303-1</f>
        <v>8.0333454205616661E-3</v>
      </c>
      <c r="G306" s="9">
        <f t="shared" si="16"/>
        <v>1.1056218495035476E-3</v>
      </c>
      <c r="H306" s="6">
        <f t="shared" si="17"/>
        <v>1105.6218495035475</v>
      </c>
      <c r="I306" s="9">
        <f t="shared" si="8"/>
        <v>1.2214908460972293E-2</v>
      </c>
      <c r="J306">
        <f t="shared" si="9"/>
        <v>0</v>
      </c>
      <c r="K306" s="5">
        <f t="shared" si="10"/>
        <v>1.50476236880119E-2</v>
      </c>
      <c r="L306">
        <f t="shared" si="11"/>
        <v>0</v>
      </c>
      <c r="M306" s="9">
        <f t="shared" si="12"/>
        <v>2.4333172474090344E-2</v>
      </c>
      <c r="N306">
        <f t="shared" si="13"/>
        <v>0</v>
      </c>
      <c r="O306" s="5">
        <f t="shared" si="14"/>
        <v>2.1836232469267747E-2</v>
      </c>
      <c r="P306">
        <f t="shared" si="15"/>
        <v>0</v>
      </c>
    </row>
    <row r="307" spans="1:16" x14ac:dyDescent="0.25">
      <c r="A307" s="2">
        <f>'Historical Prices'!A305</f>
        <v>45560</v>
      </c>
      <c r="B307" s="3">
        <f>'Historical Prices'!C305/'Historical Prices'!C304-1</f>
        <v>6.2497399201959514E-3</v>
      </c>
      <c r="C307" s="3">
        <f>'Historical Prices'!B305/'Historical Prices'!B304-1</f>
        <v>2.3032372072928187E-2</v>
      </c>
      <c r="D307" s="3">
        <f>'Historical Prices'!D305/'Historical Prices'!D304-1</f>
        <v>3.9815056887582134E-3</v>
      </c>
      <c r="E307" s="3">
        <f>'Historical Prices'!E305/'Historical Prices'!E304-1</f>
        <v>-1.7382540796271329E-3</v>
      </c>
      <c r="F307" s="3">
        <f>'Historical Prices'!F305/'Historical Prices'!F304-1</f>
        <v>5.4484045697225092E-3</v>
      </c>
      <c r="G307" s="9">
        <f t="shared" si="16"/>
        <v>7.1978445998739805E-3</v>
      </c>
      <c r="H307" s="6">
        <f t="shared" si="17"/>
        <v>7197.8445998739808</v>
      </c>
      <c r="I307" s="9">
        <f t="shared" si="8"/>
        <v>1.2214908460972293E-2</v>
      </c>
      <c r="J307">
        <f t="shared" si="9"/>
        <v>0</v>
      </c>
      <c r="K307" s="5">
        <f t="shared" si="10"/>
        <v>1.5059139133574314E-2</v>
      </c>
      <c r="L307">
        <f t="shared" si="11"/>
        <v>0</v>
      </c>
      <c r="M307" s="9">
        <f t="shared" si="12"/>
        <v>2.4333172474090344E-2</v>
      </c>
      <c r="N307">
        <f t="shared" si="13"/>
        <v>0</v>
      </c>
      <c r="O307" s="5">
        <f t="shared" si="14"/>
        <v>2.184562711597977E-2</v>
      </c>
      <c r="P307">
        <f t="shared" si="15"/>
        <v>0</v>
      </c>
    </row>
    <row r="308" spans="1:16" x14ac:dyDescent="0.25">
      <c r="A308" s="2">
        <f>'Historical Prices'!A306</f>
        <v>45561</v>
      </c>
      <c r="B308" s="3">
        <f>'Historical Prices'!C306/'Historical Prices'!C305-1</f>
        <v>2.4450650340783753E-3</v>
      </c>
      <c r="C308" s="3">
        <f>'Historical Prices'!B306/'Historical Prices'!B305-1</f>
        <v>7.0973026316110133E-3</v>
      </c>
      <c r="D308" s="3">
        <f>'Historical Prices'!D306/'Historical Prices'!D305-1</f>
        <v>3.9279536887713018E-3</v>
      </c>
      <c r="E308" s="3">
        <f>'Historical Prices'!E306/'Historical Prices'!E305-1</f>
        <v>2.6118185233563462E-3</v>
      </c>
      <c r="F308" s="3">
        <f>'Historical Prices'!F306/'Historical Prices'!F305-1</f>
        <v>2.9132455395448176E-2</v>
      </c>
      <c r="G308" s="9">
        <f t="shared" si="16"/>
        <v>8.8211747340360466E-3</v>
      </c>
      <c r="H308" s="6">
        <f t="shared" si="17"/>
        <v>8821.1747340360471</v>
      </c>
      <c r="I308" s="9">
        <f t="shared" si="8"/>
        <v>1.2214908460972293E-2</v>
      </c>
      <c r="J308">
        <f t="shared" si="9"/>
        <v>0</v>
      </c>
      <c r="K308" s="5">
        <f t="shared" si="10"/>
        <v>1.5057554900527273E-2</v>
      </c>
      <c r="L308">
        <f t="shared" si="11"/>
        <v>0</v>
      </c>
      <c r="M308" s="9">
        <f t="shared" si="12"/>
        <v>2.4333172474090344E-2</v>
      </c>
      <c r="N308">
        <f t="shared" si="13"/>
        <v>0</v>
      </c>
      <c r="O308" s="5">
        <f t="shared" si="14"/>
        <v>2.1839514805088289E-2</v>
      </c>
      <c r="P308">
        <f t="shared" si="15"/>
        <v>0</v>
      </c>
    </row>
    <row r="309" spans="1:16" x14ac:dyDescent="0.25">
      <c r="A309" s="2">
        <f>'Historical Prices'!A307</f>
        <v>45562</v>
      </c>
      <c r="B309" s="3">
        <f>'Historical Prices'!C307/'Historical Prices'!C306-1</f>
        <v>-1.7269962490390922E-2</v>
      </c>
      <c r="C309" s="3">
        <f>'Historical Prices'!B307/'Historical Prices'!B306-1</f>
        <v>-3.0928632551381341E-3</v>
      </c>
      <c r="D309" s="3">
        <f>'Historical Prices'!D307/'Historical Prices'!D306-1</f>
        <v>-1.6891813690790514E-2</v>
      </c>
      <c r="E309" s="3">
        <f>'Historical Prices'!E307/'Historical Prices'!E306-1</f>
        <v>3.4205254901964466E-3</v>
      </c>
      <c r="F309" s="3">
        <f>'Historical Prices'!F307/'Historical Prices'!F306-1</f>
        <v>8.0154119806841173E-4</v>
      </c>
      <c r="G309" s="9">
        <f t="shared" si="16"/>
        <v>-7.2732582669842631E-3</v>
      </c>
      <c r="H309" s="6">
        <f t="shared" si="17"/>
        <v>-7273.2582669842632</v>
      </c>
      <c r="I309" s="9">
        <f t="shared" si="8"/>
        <v>1.2214908460972293E-2</v>
      </c>
      <c r="J309">
        <f t="shared" si="9"/>
        <v>0</v>
      </c>
      <c r="K309" s="5">
        <f t="shared" si="10"/>
        <v>1.5025067987584403E-2</v>
      </c>
      <c r="L309">
        <f t="shared" si="11"/>
        <v>0</v>
      </c>
      <c r="M309" s="9">
        <f t="shared" si="12"/>
        <v>2.4333172474090344E-2</v>
      </c>
      <c r="N309">
        <f t="shared" si="13"/>
        <v>0</v>
      </c>
      <c r="O309" s="5">
        <f t="shared" si="14"/>
        <v>2.1812561884680861E-2</v>
      </c>
      <c r="P309">
        <f t="shared" si="15"/>
        <v>0</v>
      </c>
    </row>
    <row r="310" spans="1:16" x14ac:dyDescent="0.25">
      <c r="A310" s="2">
        <f>'Historical Prices'!A308</f>
        <v>45565</v>
      </c>
      <c r="B310" s="3">
        <f>'Historical Prices'!C308/'Historical Prices'!C307-1</f>
        <v>-1.1753525146217636E-2</v>
      </c>
      <c r="C310" s="3">
        <f>'Historical Prices'!B308/'Historical Prices'!B307-1</f>
        <v>-3.2164444430358707E-2</v>
      </c>
      <c r="D310" s="3">
        <f>'Historical Prices'!D308/'Historical Prices'!D307-1</f>
        <v>-2.5715493086384544E-2</v>
      </c>
      <c r="E310" s="3">
        <f>'Historical Prices'!E308/'Historical Prices'!E307-1</f>
        <v>-1.633661835596123E-2</v>
      </c>
      <c r="F310" s="3">
        <f>'Historical Prices'!F308/'Historical Prices'!F307-1</f>
        <v>-2.7876808526261065E-2</v>
      </c>
      <c r="G310" s="9">
        <f t="shared" si="16"/>
        <v>-2.2653504647769156E-2</v>
      </c>
      <c r="H310" s="6">
        <f t="shared" si="17"/>
        <v>-22653.504647769154</v>
      </c>
      <c r="I310" s="9">
        <f t="shared" si="8"/>
        <v>1.2214908460972293E-2</v>
      </c>
      <c r="J310">
        <f t="shared" si="9"/>
        <v>1</v>
      </c>
      <c r="K310" s="5">
        <f t="shared" si="10"/>
        <v>1.499885644025138E-2</v>
      </c>
      <c r="L310">
        <f t="shared" si="11"/>
        <v>1</v>
      </c>
      <c r="M310" s="9">
        <f t="shared" si="12"/>
        <v>2.4333172474090344E-2</v>
      </c>
      <c r="N310">
        <f t="shared" si="13"/>
        <v>0</v>
      </c>
      <c r="O310" s="5">
        <f t="shared" si="14"/>
        <v>2.1779606210294053E-2</v>
      </c>
      <c r="P310">
        <f t="shared" si="15"/>
        <v>1</v>
      </c>
    </row>
    <row r="311" spans="1:16" x14ac:dyDescent="0.25">
      <c r="A311" s="2">
        <f>'Historical Prices'!A309</f>
        <v>45566</v>
      </c>
      <c r="B311" s="3">
        <f>'Historical Prices'!C309/'Historical Prices'!C308-1</f>
        <v>-3.3775197975013382E-3</v>
      </c>
      <c r="C311" s="3">
        <f>'Historical Prices'!B309/'Historical Prices'!B308-1</f>
        <v>-4.5040628947414785E-3</v>
      </c>
      <c r="D311" s="3">
        <f>'Historical Prices'!D309/'Historical Prices'!D308-1</f>
        <v>1.0997800439911387E-3</v>
      </c>
      <c r="E311" s="3">
        <f>'Historical Prices'!E309/'Historical Prices'!E308-1</f>
        <v>1.5328330494766229E-2</v>
      </c>
      <c r="F311" s="3">
        <f>'Historical Prices'!F309/'Historical Prices'!F308-1</f>
        <v>2.2811759114213404E-2</v>
      </c>
      <c r="G311" s="9">
        <f t="shared" si="16"/>
        <v>5.9359835624294048E-3</v>
      </c>
      <c r="H311" s="6">
        <f t="shared" si="17"/>
        <v>5935.9835624294046</v>
      </c>
      <c r="I311" s="9">
        <f t="shared" si="8"/>
        <v>1.2214908460972293E-2</v>
      </c>
      <c r="J311">
        <f t="shared" si="9"/>
        <v>0</v>
      </c>
      <c r="K311" s="5">
        <f t="shared" si="10"/>
        <v>1.5136023669181075E-2</v>
      </c>
      <c r="L311">
        <f t="shared" si="11"/>
        <v>0</v>
      </c>
      <c r="M311" s="9">
        <f t="shared" si="12"/>
        <v>2.4333172474090344E-2</v>
      </c>
      <c r="N311">
        <f t="shared" si="13"/>
        <v>0</v>
      </c>
      <c r="O311" s="5">
        <f t="shared" si="14"/>
        <v>2.196043057328332E-2</v>
      </c>
      <c r="P311">
        <f t="shared" si="15"/>
        <v>0</v>
      </c>
    </row>
    <row r="312" spans="1:16" x14ac:dyDescent="0.25">
      <c r="A312" s="2">
        <f>'Historical Prices'!A310</f>
        <v>45568</v>
      </c>
      <c r="B312" s="3">
        <f>'Historical Prices'!C310/'Historical Prices'!C309-1</f>
        <v>-2.5605400197079464E-2</v>
      </c>
      <c r="C312" s="3">
        <f>'Historical Prices'!B310/'Historical Prices'!B309-1</f>
        <v>-4.153592774769066E-2</v>
      </c>
      <c r="D312" s="3">
        <f>'Historical Prices'!D310/'Historical Prices'!D309-1</f>
        <v>-1.4163653527217712E-2</v>
      </c>
      <c r="E312" s="3">
        <f>'Historical Prices'!E310/'Historical Prices'!E309-1</f>
        <v>-5.7498859290331383E-3</v>
      </c>
      <c r="F312" s="3">
        <f>'Historical Prices'!F310/'Historical Prices'!F309-1</f>
        <v>-1.1262030421065439E-2</v>
      </c>
      <c r="G312" s="9">
        <f t="shared" si="16"/>
        <v>-1.9504836429054449E-2</v>
      </c>
      <c r="H312" s="6">
        <f t="shared" si="17"/>
        <v>-19504.836429054449</v>
      </c>
      <c r="I312" s="9">
        <f t="shared" si="8"/>
        <v>1.2214908460972293E-2</v>
      </c>
      <c r="J312">
        <f t="shared" si="9"/>
        <v>1</v>
      </c>
      <c r="K312" s="5">
        <f t="shared" si="10"/>
        <v>1.5104736332725211E-2</v>
      </c>
      <c r="L312">
        <f t="shared" si="11"/>
        <v>1</v>
      </c>
      <c r="M312" s="9">
        <f t="shared" si="12"/>
        <v>2.4333172474090344E-2</v>
      </c>
      <c r="N312">
        <f t="shared" si="13"/>
        <v>0</v>
      </c>
      <c r="O312" s="5">
        <f t="shared" si="14"/>
        <v>2.1930054147269111E-2</v>
      </c>
      <c r="P312">
        <f t="shared" si="15"/>
        <v>0</v>
      </c>
    </row>
    <row r="313" spans="1:16" x14ac:dyDescent="0.25">
      <c r="A313" s="2">
        <f>'Historical Prices'!A311</f>
        <v>45569</v>
      </c>
      <c r="B313" s="3">
        <f>'Historical Prices'!C311/'Historical Prices'!C310-1</f>
        <v>-1.447684234610791E-2</v>
      </c>
      <c r="C313" s="3">
        <f>'Historical Prices'!B311/'Historical Prices'!B310-1</f>
        <v>2.2965581059459783E-3</v>
      </c>
      <c r="D313" s="3">
        <f>'Historical Prices'!D311/'Historical Prices'!D310-1</f>
        <v>-1.3212899505619657E-2</v>
      </c>
      <c r="E313" s="3">
        <f>'Historical Prices'!E311/'Historical Prices'!E310-1</f>
        <v>1.3071715661394867E-2</v>
      </c>
      <c r="F313" s="3">
        <f>'Historical Prices'!F311/'Historical Prices'!F310-1</f>
        <v>-3.5912290978110994E-2</v>
      </c>
      <c r="G313" s="9">
        <f t="shared" si="16"/>
        <v>-1.0160668911026186E-2</v>
      </c>
      <c r="H313" s="6">
        <f t="shared" si="17"/>
        <v>-10160.668911026187</v>
      </c>
      <c r="I313" s="9">
        <f t="shared" si="8"/>
        <v>1.2667227179688569E-2</v>
      </c>
      <c r="J313">
        <f t="shared" si="9"/>
        <v>0</v>
      </c>
      <c r="K313" s="5">
        <f t="shared" si="10"/>
        <v>1.5306752973300194E-2</v>
      </c>
      <c r="L313">
        <f t="shared" si="11"/>
        <v>0</v>
      </c>
      <c r="M313" s="9">
        <f t="shared" si="12"/>
        <v>2.4333172474090344E-2</v>
      </c>
      <c r="N313">
        <f t="shared" si="13"/>
        <v>0</v>
      </c>
      <c r="O313" s="5">
        <f t="shared" si="14"/>
        <v>2.2188532504052866E-2</v>
      </c>
      <c r="P313">
        <f t="shared" si="15"/>
        <v>0</v>
      </c>
    </row>
    <row r="314" spans="1:16" x14ac:dyDescent="0.25">
      <c r="A314" s="2">
        <f>'Historical Prices'!A312</f>
        <v>45572</v>
      </c>
      <c r="B314" s="3">
        <f>'Historical Prices'!C312/'Historical Prices'!C311-1</f>
        <v>-2.4039998279258845E-2</v>
      </c>
      <c r="C314" s="3">
        <f>'Historical Prices'!B312/'Historical Prices'!B311-1</f>
        <v>-2.774955261986245E-2</v>
      </c>
      <c r="D314" s="3">
        <f>'Historical Prices'!D312/'Historical Prices'!D311-1</f>
        <v>-4.7186255129572086E-3</v>
      </c>
      <c r="E314" s="3">
        <f>'Historical Prices'!E312/'Historical Prices'!E311-1</f>
        <v>8.4195514767626545E-3</v>
      </c>
      <c r="F314" s="3">
        <f>'Historical Prices'!F312/'Historical Prices'!F311-1</f>
        <v>1.4167577845525692E-2</v>
      </c>
      <c r="G314" s="9">
        <f t="shared" si="16"/>
        <v>-6.9639257319528986E-3</v>
      </c>
      <c r="H314" s="6">
        <f t="shared" si="17"/>
        <v>-6963.9257319528988</v>
      </c>
      <c r="I314" s="9">
        <f t="shared" si="8"/>
        <v>1.2667227179688569E-2</v>
      </c>
      <c r="J314">
        <f t="shared" si="9"/>
        <v>0</v>
      </c>
      <c r="K314" s="5">
        <f t="shared" si="10"/>
        <v>1.537378361289346E-2</v>
      </c>
      <c r="L314">
        <f t="shared" si="11"/>
        <v>0</v>
      </c>
      <c r="M314" s="9">
        <f t="shared" si="12"/>
        <v>2.4333172474090344E-2</v>
      </c>
      <c r="N314">
        <f t="shared" si="13"/>
        <v>0</v>
      </c>
      <c r="O314" s="5">
        <f t="shared" si="14"/>
        <v>2.2271081026212964E-2</v>
      </c>
      <c r="P314">
        <f t="shared" si="15"/>
        <v>0</v>
      </c>
    </row>
    <row r="315" spans="1:16" x14ac:dyDescent="0.25">
      <c r="A315" s="2">
        <f>'Historical Prices'!A313</f>
        <v>45573</v>
      </c>
      <c r="B315" s="3">
        <f>'Historical Prices'!C313/'Historical Prices'!C312-1</f>
        <v>2.0552631392782184E-2</v>
      </c>
      <c r="C315" s="3">
        <f>'Historical Prices'!B313/'Historical Prices'!B312-1</f>
        <v>6.6335956256842188E-3</v>
      </c>
      <c r="D315" s="3">
        <f>'Historical Prices'!D313/'Historical Prices'!D312-1</f>
        <v>2.1881290305461043E-3</v>
      </c>
      <c r="E315" s="3">
        <f>'Historical Prices'!E313/'Historical Prices'!E312-1</f>
        <v>7.3669616186056164E-3</v>
      </c>
      <c r="F315" s="3">
        <f>'Historical Prices'!F313/'Historical Prices'!F312-1</f>
        <v>3.452396547481551E-2</v>
      </c>
      <c r="G315" s="9">
        <f t="shared" si="16"/>
        <v>1.4067486410499992E-2</v>
      </c>
      <c r="H315" s="6">
        <f t="shared" si="17"/>
        <v>14067.486410499992</v>
      </c>
      <c r="I315" s="9">
        <f t="shared" si="8"/>
        <v>1.2667227179688569E-2</v>
      </c>
      <c r="J315">
        <f t="shared" si="9"/>
        <v>0</v>
      </c>
      <c r="K315" s="5">
        <f t="shared" si="10"/>
        <v>1.5419421923625646E-2</v>
      </c>
      <c r="L315">
        <f t="shared" si="11"/>
        <v>0</v>
      </c>
      <c r="M315" s="9">
        <f t="shared" si="12"/>
        <v>2.4333172474090344E-2</v>
      </c>
      <c r="N315">
        <f t="shared" si="13"/>
        <v>0</v>
      </c>
      <c r="O315" s="5">
        <f t="shared" si="14"/>
        <v>2.2325318188361722E-2</v>
      </c>
      <c r="P315">
        <f t="shared" si="15"/>
        <v>0</v>
      </c>
    </row>
    <row r="316" spans="1:16" x14ac:dyDescent="0.25">
      <c r="A316" s="2">
        <f>'Historical Prices'!A314</f>
        <v>45574</v>
      </c>
      <c r="B316" s="3">
        <f>'Historical Prices'!C314/'Historical Prices'!C313-1</f>
        <v>-1.0841650866970975E-2</v>
      </c>
      <c r="C316" s="3">
        <f>'Historical Prices'!B314/'Historical Prices'!B313-1</f>
        <v>1.4610242977147969E-2</v>
      </c>
      <c r="D316" s="3">
        <f>'Historical Prices'!D314/'Historical Prices'!D313-1</f>
        <v>6.1054595425902303E-3</v>
      </c>
      <c r="E316" s="3">
        <f>'Historical Prices'!E314/'Historical Prices'!E313-1</f>
        <v>2.1554240629058086E-3</v>
      </c>
      <c r="F316" s="3">
        <f>'Historical Prices'!F314/'Historical Prices'!F313-1</f>
        <v>-4.058982183038351E-3</v>
      </c>
      <c r="G316" s="9">
        <f t="shared" si="16"/>
        <v>1.4151204132835805E-3</v>
      </c>
      <c r="H316" s="6">
        <f t="shared" si="17"/>
        <v>1415.1204132835805</v>
      </c>
      <c r="I316" s="9">
        <f t="shared" si="8"/>
        <v>1.2667227179688569E-2</v>
      </c>
      <c r="J316">
        <f t="shared" si="9"/>
        <v>0</v>
      </c>
      <c r="K316" s="5">
        <f t="shared" si="10"/>
        <v>1.5365776690345528E-2</v>
      </c>
      <c r="L316">
        <f t="shared" si="11"/>
        <v>0</v>
      </c>
      <c r="M316" s="9">
        <f t="shared" si="12"/>
        <v>2.4333172474090344E-2</v>
      </c>
      <c r="N316">
        <f t="shared" si="13"/>
        <v>0</v>
      </c>
      <c r="O316" s="5">
        <f t="shared" si="14"/>
        <v>2.2284387865221467E-2</v>
      </c>
      <c r="P316">
        <f t="shared" si="15"/>
        <v>0</v>
      </c>
    </row>
    <row r="317" spans="1:16" x14ac:dyDescent="0.25">
      <c r="A317" s="2">
        <f>'Historical Prices'!A315</f>
        <v>45575</v>
      </c>
      <c r="B317" s="3">
        <f>'Historical Prices'!C315/'Historical Prices'!C314-1</f>
        <v>1.7910122026293607E-2</v>
      </c>
      <c r="C317" s="3">
        <f>'Historical Prices'!B315/'Historical Prices'!B314-1</f>
        <v>1.2049670736652418E-2</v>
      </c>
      <c r="D317" s="3">
        <f>'Historical Prices'!D315/'Historical Prices'!D314-1</f>
        <v>-5.2235997831151515E-4</v>
      </c>
      <c r="E317" s="3">
        <f>'Historical Prices'!E315/'Historical Prices'!E314-1</f>
        <v>-1.7283250114236037E-2</v>
      </c>
      <c r="F317" s="3">
        <f>'Historical Prices'!F315/'Historical Prices'!F314-1</f>
        <v>1.3098672544070933E-2</v>
      </c>
      <c r="G317" s="9">
        <f t="shared" si="16"/>
        <v>5.2151508617127341E-3</v>
      </c>
      <c r="H317" s="6">
        <f t="shared" si="17"/>
        <v>5215.1508617127338</v>
      </c>
      <c r="I317" s="9">
        <f t="shared" si="8"/>
        <v>1.2667227179688569E-2</v>
      </c>
      <c r="J317">
        <f t="shared" si="9"/>
        <v>0</v>
      </c>
      <c r="K317" s="5">
        <f t="shared" si="10"/>
        <v>1.5370948514244153E-2</v>
      </c>
      <c r="L317">
        <f t="shared" si="11"/>
        <v>0</v>
      </c>
      <c r="M317" s="9">
        <f t="shared" si="12"/>
        <v>2.4333172474090344E-2</v>
      </c>
      <c r="N317">
        <f t="shared" si="13"/>
        <v>0</v>
      </c>
      <c r="O317" s="5">
        <f t="shared" si="14"/>
        <v>2.2289223835579179E-2</v>
      </c>
      <c r="P317">
        <f t="shared" si="15"/>
        <v>0</v>
      </c>
    </row>
    <row r="318" spans="1:16" x14ac:dyDescent="0.25">
      <c r="A318" s="2">
        <f>'Historical Prices'!A316</f>
        <v>45576</v>
      </c>
      <c r="B318" s="3">
        <f>'Historical Prices'!C316/'Historical Prices'!C315-1</f>
        <v>-6.8574727070044306E-3</v>
      </c>
      <c r="C318" s="3">
        <f>'Historical Prices'!B316/'Historical Prices'!B315-1</f>
        <v>-9.9641509858637844E-3</v>
      </c>
      <c r="D318" s="3">
        <f>'Historical Prices'!D316/'Historical Prices'!D315-1</f>
        <v>-1.6485733635946742E-2</v>
      </c>
      <c r="E318" s="3">
        <f>'Historical Prices'!E316/'Historical Prices'!E315-1</f>
        <v>8.3897681574955918E-3</v>
      </c>
      <c r="F318" s="3">
        <f>'Historical Prices'!F316/'Historical Prices'!F315-1</f>
        <v>-1.8767761236047398E-2</v>
      </c>
      <c r="G318" s="9">
        <f t="shared" si="16"/>
        <v>-9.1154491762411981E-3</v>
      </c>
      <c r="H318" s="6">
        <f t="shared" si="17"/>
        <v>-9115.4491762411981</v>
      </c>
      <c r="I318" s="9">
        <f t="shared" si="8"/>
        <v>1.2667227179688569E-2</v>
      </c>
      <c r="J318">
        <f t="shared" si="9"/>
        <v>0</v>
      </c>
      <c r="K318" s="5">
        <f t="shared" si="10"/>
        <v>1.5306103699209764E-2</v>
      </c>
      <c r="L318">
        <f t="shared" si="11"/>
        <v>0</v>
      </c>
      <c r="M318" s="9">
        <f t="shared" si="12"/>
        <v>2.4333172474090344E-2</v>
      </c>
      <c r="N318">
        <f t="shared" si="13"/>
        <v>0</v>
      </c>
      <c r="O318" s="5">
        <f t="shared" si="14"/>
        <v>2.2217428081332067E-2</v>
      </c>
      <c r="P318">
        <f t="shared" si="15"/>
        <v>0</v>
      </c>
    </row>
    <row r="319" spans="1:16" x14ac:dyDescent="0.25">
      <c r="A319" s="2">
        <f>'Historical Prices'!A317</f>
        <v>45579</v>
      </c>
      <c r="B319" s="3">
        <f>'Historical Prices'!C317/'Historical Prices'!C316-1</f>
        <v>2.247123822280761E-2</v>
      </c>
      <c r="C319" s="3">
        <f>'Historical Prices'!B317/'Historical Prices'!B316-1</f>
        <v>-6.908563909925336E-3</v>
      </c>
      <c r="D319" s="3">
        <f>'Historical Prices'!D317/'Historical Prices'!D316-1</f>
        <v>7.1544883013323624E-3</v>
      </c>
      <c r="E319" s="3">
        <f>'Historical Prices'!E317/'Historical Prices'!E316-1</f>
        <v>1.2299120395589336E-2</v>
      </c>
      <c r="F319" s="3">
        <f>'Historical Prices'!F317/'Historical Prices'!F316-1</f>
        <v>6.5562909703720251E-3</v>
      </c>
      <c r="G319" s="9">
        <f t="shared" si="16"/>
        <v>8.6207587783259012E-3</v>
      </c>
      <c r="H319" s="6">
        <f t="shared" si="17"/>
        <v>8620.7587783259005</v>
      </c>
      <c r="I319" s="9">
        <f t="shared" si="8"/>
        <v>1.2667227179688569E-2</v>
      </c>
      <c r="J319">
        <f t="shared" si="9"/>
        <v>0</v>
      </c>
      <c r="K319" s="5">
        <f t="shared" si="10"/>
        <v>1.5316492950570124E-2</v>
      </c>
      <c r="L319">
        <f t="shared" si="11"/>
        <v>0</v>
      </c>
      <c r="M319" s="9">
        <f t="shared" si="12"/>
        <v>2.4333172474090344E-2</v>
      </c>
      <c r="N319">
        <f t="shared" si="13"/>
        <v>0</v>
      </c>
      <c r="O319" s="5">
        <f t="shared" si="14"/>
        <v>2.2230483357939014E-2</v>
      </c>
      <c r="P319">
        <f t="shared" si="15"/>
        <v>0</v>
      </c>
    </row>
    <row r="320" spans="1:16" x14ac:dyDescent="0.25">
      <c r="A320" s="2">
        <f>'Historical Prices'!A318</f>
        <v>45580</v>
      </c>
      <c r="B320" s="3">
        <f>'Historical Prices'!C318/'Historical Prices'!C317-1</f>
        <v>-2.3695317773917424E-3</v>
      </c>
      <c r="C320" s="3">
        <f>'Historical Prices'!B318/'Historical Prices'!B317-1</f>
        <v>-9.0178734007178019E-3</v>
      </c>
      <c r="D320" s="3">
        <f>'Historical Prices'!D318/'Historical Prices'!D317-1</f>
        <v>1.9281492100022612E-2</v>
      </c>
      <c r="E320" s="3">
        <f>'Historical Prices'!E318/'Historical Prices'!E317-1</f>
        <v>2.0418755528561761E-4</v>
      </c>
      <c r="F320" s="3">
        <f>'Historical Prices'!F318/'Historical Prices'!F317-1</f>
        <v>2.8534824270010084E-4</v>
      </c>
      <c r="G320" s="9">
        <f t="shared" si="16"/>
        <v>2.3301779870922145E-3</v>
      </c>
      <c r="H320" s="6">
        <f t="shared" si="17"/>
        <v>2330.1779870922146</v>
      </c>
      <c r="I320" s="9">
        <f t="shared" ref="I320:I383" si="18">-_xlfn.PERCENTILE.INC(G70:G319, 0.05)</f>
        <v>1.2667227179688569E-2</v>
      </c>
      <c r="J320">
        <f t="shared" ref="J320:J383" si="19">--($G320&lt;-I320)</f>
        <v>0</v>
      </c>
      <c r="K320" s="5">
        <f t="shared" ref="K320:K383" si="20">_xlfn.NORM.S.INV(0.95)*_xlfn.STDEV.S($G70:$G319)-AVERAGE($G70:$G319)</f>
        <v>1.5315766701833464E-2</v>
      </c>
      <c r="L320">
        <f t="shared" ref="L320:L383" si="21">--($G320&lt;-K320)</f>
        <v>0</v>
      </c>
      <c r="M320" s="9">
        <f t="shared" ref="M320:M383" si="22">-_xlfn.PERCENTILE.INC(G70:G309, 0.01)</f>
        <v>2.4333172474090344E-2</v>
      </c>
      <c r="N320">
        <f t="shared" ref="N320:N383" si="23">--($G320&lt;-M320)</f>
        <v>0</v>
      </c>
      <c r="O320" s="5">
        <f t="shared" ref="O320:O383" si="24">_xlfn.NORM.S.INV(0.99)*_xlfn.STDEV.S($G70:$G319)-AVERAGE($G70:$G319)</f>
        <v>2.2228210963778302E-2</v>
      </c>
      <c r="P320">
        <f t="shared" ref="P320:P383" si="25">--($G320&lt;-O320)</f>
        <v>0</v>
      </c>
    </row>
    <row r="321" spans="1:16" x14ac:dyDescent="0.25">
      <c r="A321" s="2">
        <f>'Historical Prices'!A319</f>
        <v>45581</v>
      </c>
      <c r="B321" s="3">
        <f>'Historical Prices'!C319/'Historical Prices'!C318-1</f>
        <v>9.3224555171889101E-3</v>
      </c>
      <c r="C321" s="3">
        <f>'Historical Prices'!B319/'Historical Prices'!B318-1</f>
        <v>-5.6342117560825855E-4</v>
      </c>
      <c r="D321" s="3">
        <f>'Historical Prices'!D319/'Historical Prices'!D318-1</f>
        <v>-9.8366975997777883E-3</v>
      </c>
      <c r="E321" s="3">
        <f>'Historical Prices'!E319/'Historical Prices'!E318-1</f>
        <v>-2.0007157036096457E-2</v>
      </c>
      <c r="F321" s="3">
        <f>'Historical Prices'!F319/'Historical Prices'!F318-1</f>
        <v>-2.7821870242515478E-2</v>
      </c>
      <c r="G321" s="9">
        <f t="shared" si="16"/>
        <v>-9.4392850259897229E-3</v>
      </c>
      <c r="H321" s="6">
        <f t="shared" si="17"/>
        <v>-9439.2850259897223</v>
      </c>
      <c r="I321" s="9">
        <f t="shared" si="18"/>
        <v>1.2667227179688569E-2</v>
      </c>
      <c r="J321">
        <f t="shared" si="19"/>
        <v>0</v>
      </c>
      <c r="K321" s="5">
        <f t="shared" si="20"/>
        <v>1.5319740565254845E-2</v>
      </c>
      <c r="L321">
        <f t="shared" si="21"/>
        <v>0</v>
      </c>
      <c r="M321" s="9">
        <f t="shared" si="22"/>
        <v>2.4928888025889426E-2</v>
      </c>
      <c r="N321">
        <f t="shared" si="23"/>
        <v>0</v>
      </c>
      <c r="O321" s="5">
        <f t="shared" si="24"/>
        <v>2.2231583539953661E-2</v>
      </c>
      <c r="P321">
        <f t="shared" si="25"/>
        <v>0</v>
      </c>
    </row>
    <row r="322" spans="1:16" x14ac:dyDescent="0.25">
      <c r="A322" s="2">
        <f>'Historical Prices'!A320</f>
        <v>45582</v>
      </c>
      <c r="B322" s="3">
        <f>'Historical Prices'!C320/'Historical Prices'!C319-1</f>
        <v>-1.5678281370324676E-2</v>
      </c>
      <c r="C322" s="3">
        <f>'Historical Prices'!B320/'Historical Prices'!B319-1</f>
        <v>-1.851357654150998E-2</v>
      </c>
      <c r="D322" s="3">
        <f>'Historical Prices'!D320/'Historical Prices'!D319-1</f>
        <v>-9.5723949727285484E-3</v>
      </c>
      <c r="E322" s="3">
        <f>'Historical Prices'!E320/'Historical Prices'!E319-1</f>
        <v>2.4998718330071279E-2</v>
      </c>
      <c r="F322" s="3">
        <f>'Historical Prices'!F320/'Historical Prices'!F319-1</f>
        <v>-3.3702696570760526E-2</v>
      </c>
      <c r="G322" s="9">
        <f t="shared" si="16"/>
        <v>-1.0793266396277885E-2</v>
      </c>
      <c r="H322" s="6">
        <f t="shared" si="17"/>
        <v>-10793.266396277884</v>
      </c>
      <c r="I322" s="9">
        <f t="shared" si="18"/>
        <v>1.2667227179688569E-2</v>
      </c>
      <c r="J322">
        <f t="shared" si="19"/>
        <v>0</v>
      </c>
      <c r="K322" s="5">
        <f t="shared" si="20"/>
        <v>1.5319092860049994E-2</v>
      </c>
      <c r="L322">
        <f t="shared" si="21"/>
        <v>0</v>
      </c>
      <c r="M322" s="9">
        <f t="shared" si="22"/>
        <v>2.4928888025889426E-2</v>
      </c>
      <c r="N322">
        <f t="shared" si="23"/>
        <v>0</v>
      </c>
      <c r="O322" s="5">
        <f t="shared" si="24"/>
        <v>2.2230764578557653E-2</v>
      </c>
      <c r="P322">
        <f t="shared" si="25"/>
        <v>0</v>
      </c>
    </row>
    <row r="323" spans="1:16" x14ac:dyDescent="0.25">
      <c r="A323" s="2">
        <f>'Historical Prices'!A321</f>
        <v>45583</v>
      </c>
      <c r="B323" s="3">
        <f>'Historical Prices'!C321/'Historical Prices'!C320-1</f>
        <v>5.1997156862362282E-3</v>
      </c>
      <c r="C323" s="3">
        <f>'Historical Prices'!B321/'Historical Prices'!B320-1</f>
        <v>5.7427958490919417E-2</v>
      </c>
      <c r="D323" s="3">
        <f>'Historical Prices'!D321/'Historical Prices'!D320-1</f>
        <v>2.7005008920464535E-2</v>
      </c>
      <c r="E323" s="3">
        <f>'Historical Prices'!E321/'Historical Prices'!E320-1</f>
        <v>-4.4967229987382118E-2</v>
      </c>
      <c r="F323" s="3">
        <f>'Historical Prices'!F321/'Historical Prices'!F320-1</f>
        <v>-1.1811056978028311E-4</v>
      </c>
      <c r="G323" s="9">
        <f t="shared" si="16"/>
        <v>9.5263181968496865E-3</v>
      </c>
      <c r="H323" s="6">
        <f t="shared" si="17"/>
        <v>9526.3181968496865</v>
      </c>
      <c r="I323" s="9">
        <f t="shared" si="18"/>
        <v>1.2667227179688569E-2</v>
      </c>
      <c r="J323">
        <f t="shared" si="19"/>
        <v>0</v>
      </c>
      <c r="K323" s="5">
        <f t="shared" si="20"/>
        <v>1.5419093253565887E-2</v>
      </c>
      <c r="L323">
        <f t="shared" si="21"/>
        <v>0</v>
      </c>
      <c r="M323" s="9">
        <f t="shared" si="22"/>
        <v>2.4928888025889426E-2</v>
      </c>
      <c r="N323">
        <f t="shared" si="23"/>
        <v>0</v>
      </c>
      <c r="O323" s="5">
        <f t="shared" si="24"/>
        <v>2.2333496607314554E-2</v>
      </c>
      <c r="P323">
        <f t="shared" si="25"/>
        <v>0</v>
      </c>
    </row>
    <row r="324" spans="1:16" x14ac:dyDescent="0.25">
      <c r="A324" s="2">
        <f>'Historical Prices'!A322</f>
        <v>45586</v>
      </c>
      <c r="B324" s="3">
        <f>'Historical Prices'!C322/'Historical Prices'!C321-1</f>
        <v>2.7856197814262629E-2</v>
      </c>
      <c r="C324" s="3">
        <f>'Historical Prices'!B322/'Historical Prices'!B321-1</f>
        <v>-5.472549752146838E-3</v>
      </c>
      <c r="D324" s="3">
        <f>'Historical Prices'!D322/'Historical Prices'!D321-1</f>
        <v>-4.3098906855626451E-3</v>
      </c>
      <c r="E324" s="3">
        <f>'Historical Prices'!E322/'Historical Prices'!E321-1</f>
        <v>-1.4284969083227295E-2</v>
      </c>
      <c r="F324" s="3">
        <f>'Historical Prices'!F322/'Historical Prices'!F321-1</f>
        <v>1.1453128768732279E-2</v>
      </c>
      <c r="G324" s="9">
        <f t="shared" si="16"/>
        <v>3.4522151498853309E-3</v>
      </c>
      <c r="H324" s="6">
        <f t="shared" si="17"/>
        <v>3452.2151498853309</v>
      </c>
      <c r="I324" s="9">
        <f t="shared" si="18"/>
        <v>1.2667227179688569E-2</v>
      </c>
      <c r="J324">
        <f t="shared" si="19"/>
        <v>0</v>
      </c>
      <c r="K324" s="5">
        <f t="shared" si="20"/>
        <v>1.5419837660415806E-2</v>
      </c>
      <c r="L324">
        <f t="shared" si="21"/>
        <v>0</v>
      </c>
      <c r="M324" s="9">
        <f t="shared" si="22"/>
        <v>2.4928888025889426E-2</v>
      </c>
      <c r="N324">
        <f t="shared" si="23"/>
        <v>0</v>
      </c>
      <c r="O324" s="5">
        <f t="shared" si="24"/>
        <v>2.2340457404635389E-2</v>
      </c>
      <c r="P324">
        <f t="shared" si="25"/>
        <v>0</v>
      </c>
    </row>
    <row r="325" spans="1:16" x14ac:dyDescent="0.25">
      <c r="A325" s="2">
        <f>'Historical Prices'!A323</f>
        <v>45587</v>
      </c>
      <c r="B325" s="3">
        <f>'Historical Prices'!C323/'Historical Prices'!C322-1</f>
        <v>-8.1853421627258172E-3</v>
      </c>
      <c r="C325" s="3">
        <f>'Historical Prices'!B323/'Historical Prices'!B322-1</f>
        <v>-1.222380366968856E-2</v>
      </c>
      <c r="D325" s="3">
        <f>'Historical Prices'!D323/'Historical Prices'!D322-1</f>
        <v>6.7113009511612365E-3</v>
      </c>
      <c r="E325" s="3">
        <f>'Historical Prices'!E323/'Historical Prices'!E322-1</f>
        <v>-6.2074268890788264E-4</v>
      </c>
      <c r="F325" s="3">
        <f>'Historical Prices'!F323/'Historical Prices'!F322-1</f>
        <v>-3.7022208265297452E-2</v>
      </c>
      <c r="G325" s="9">
        <f t="shared" si="16"/>
        <v>-9.7033196714236564E-3</v>
      </c>
      <c r="H325" s="6">
        <f t="shared" si="17"/>
        <v>-9703.3196714236565</v>
      </c>
      <c r="I325" s="9">
        <f t="shared" si="18"/>
        <v>1.2667227179688569E-2</v>
      </c>
      <c r="J325">
        <f t="shared" si="19"/>
        <v>0</v>
      </c>
      <c r="K325" s="5">
        <f t="shared" si="20"/>
        <v>1.5403350854038047E-2</v>
      </c>
      <c r="L325">
        <f t="shared" si="21"/>
        <v>0</v>
      </c>
      <c r="M325" s="9">
        <f t="shared" si="22"/>
        <v>2.4928888025889426E-2</v>
      </c>
      <c r="N325">
        <f t="shared" si="23"/>
        <v>0</v>
      </c>
      <c r="O325" s="5">
        <f t="shared" si="24"/>
        <v>2.2324053934871167E-2</v>
      </c>
      <c r="P325">
        <f t="shared" si="25"/>
        <v>0</v>
      </c>
    </row>
    <row r="326" spans="1:16" x14ac:dyDescent="0.25">
      <c r="A326" s="2">
        <f>'Historical Prices'!A324</f>
        <v>45588</v>
      </c>
      <c r="B326" s="3">
        <f>'Historical Prices'!C324/'Historical Prices'!C323-1</f>
        <v>1.2394012906527196E-2</v>
      </c>
      <c r="C326" s="3">
        <f>'Historical Prices'!B324/'Historical Prices'!B323-1</f>
        <v>-1.3055599232287829E-2</v>
      </c>
      <c r="D326" s="3">
        <f>'Historical Prices'!D324/'Historical Prices'!D323-1</f>
        <v>-1.2544391044806757E-2</v>
      </c>
      <c r="E326" s="3">
        <f>'Historical Prices'!E324/'Historical Prices'!E323-1</f>
        <v>1.177366271740099E-2</v>
      </c>
      <c r="F326" s="3">
        <f>'Historical Prices'!F324/'Historical Prices'!F323-1</f>
        <v>-3.2453539023981182E-2</v>
      </c>
      <c r="G326" s="9">
        <f t="shared" ref="G326:G389" si="26">SUMPRODUCT(B326:F326, $B$2:$F$2)</f>
        <v>-6.7508454627064271E-3</v>
      </c>
      <c r="H326" s="6">
        <f t="shared" ref="H326:H389" si="27">G326*1000000</f>
        <v>-6750.8454627064275</v>
      </c>
      <c r="I326" s="9">
        <f t="shared" si="18"/>
        <v>1.2667227179688569E-2</v>
      </c>
      <c r="J326">
        <f t="shared" si="19"/>
        <v>0</v>
      </c>
      <c r="K326" s="5">
        <f t="shared" si="20"/>
        <v>1.53776497626699E-2</v>
      </c>
      <c r="L326">
        <f t="shared" si="21"/>
        <v>0</v>
      </c>
      <c r="M326" s="9">
        <f t="shared" si="22"/>
        <v>2.4928888025889426E-2</v>
      </c>
      <c r="N326">
        <f t="shared" si="23"/>
        <v>0</v>
      </c>
      <c r="O326" s="5">
        <f t="shared" si="24"/>
        <v>2.2291293067495759E-2</v>
      </c>
      <c r="P326">
        <f t="shared" si="25"/>
        <v>0</v>
      </c>
    </row>
    <row r="327" spans="1:16" x14ac:dyDescent="0.25">
      <c r="A327" s="2">
        <f>'Historical Prices'!A325</f>
        <v>45589</v>
      </c>
      <c r="B327" s="3">
        <f>'Historical Prices'!C325/'Historical Prices'!C324-1</f>
        <v>7.9790565795354595E-3</v>
      </c>
      <c r="C327" s="3">
        <f>'Historical Prices'!B325/'Historical Prices'!B324-1</f>
        <v>5.9894252815433369E-3</v>
      </c>
      <c r="D327" s="3">
        <f>'Historical Prices'!D325/'Historical Prices'!D324-1</f>
        <v>9.1887250745514848E-4</v>
      </c>
      <c r="E327" s="3">
        <f>'Historical Prices'!E325/'Historical Prices'!E324-1</f>
        <v>-5.3646270953697783E-3</v>
      </c>
      <c r="F327" s="3">
        <f>'Historical Prices'!F325/'Historical Prices'!F324-1</f>
        <v>1.1759439894069468E-2</v>
      </c>
      <c r="G327" s="9">
        <f t="shared" si="26"/>
        <v>4.2738287954548941E-3</v>
      </c>
      <c r="H327" s="6">
        <f t="shared" si="27"/>
        <v>4273.8287954548941</v>
      </c>
      <c r="I327" s="9">
        <f t="shared" si="18"/>
        <v>1.2667227179688569E-2</v>
      </c>
      <c r="J327">
        <f t="shared" si="19"/>
        <v>0</v>
      </c>
      <c r="K327" s="5">
        <f t="shared" si="20"/>
        <v>1.5436890190000956E-2</v>
      </c>
      <c r="L327">
        <f t="shared" si="21"/>
        <v>0</v>
      </c>
      <c r="M327" s="9">
        <f t="shared" si="22"/>
        <v>2.4928888025889426E-2</v>
      </c>
      <c r="N327">
        <f t="shared" si="23"/>
        <v>0</v>
      </c>
      <c r="O327" s="5">
        <f t="shared" si="24"/>
        <v>2.2358829108614215E-2</v>
      </c>
      <c r="P327">
        <f t="shared" si="25"/>
        <v>0</v>
      </c>
    </row>
    <row r="328" spans="1:16" x14ac:dyDescent="0.25">
      <c r="A328" s="2">
        <f>'Historical Prices'!A326</f>
        <v>45590</v>
      </c>
      <c r="B328" s="3">
        <f>'Historical Prices'!C326/'Historical Prices'!C325-1</f>
        <v>-3.5721263305712458E-3</v>
      </c>
      <c r="C328" s="3">
        <f>'Historical Prices'!B326/'Historical Prices'!B325-1</f>
        <v>1.8846067354650886E-2</v>
      </c>
      <c r="D328" s="3">
        <f>'Historical Prices'!D326/'Historical Prices'!D325-1</f>
        <v>2.1552044250761071E-3</v>
      </c>
      <c r="E328" s="3">
        <f>'Historical Prices'!E326/'Historical Prices'!E325-1</f>
        <v>-6.9756887246807953E-4</v>
      </c>
      <c r="F328" s="3">
        <f>'Historical Prices'!F326/'Historical Prices'!F325-1</f>
        <v>-3.7327304825504615E-2</v>
      </c>
      <c r="G328" s="9">
        <f t="shared" si="26"/>
        <v>-4.1208592536578397E-3</v>
      </c>
      <c r="H328" s="6">
        <f t="shared" si="27"/>
        <v>-4120.8592536578399</v>
      </c>
      <c r="I328" s="9">
        <f t="shared" si="18"/>
        <v>1.2667227179688569E-2</v>
      </c>
      <c r="J328">
        <f t="shared" si="19"/>
        <v>0</v>
      </c>
      <c r="K328" s="5">
        <f t="shared" si="20"/>
        <v>1.5436544050034339E-2</v>
      </c>
      <c r="L328">
        <f t="shared" si="21"/>
        <v>0</v>
      </c>
      <c r="M328" s="9">
        <f t="shared" si="22"/>
        <v>2.4928888025889426E-2</v>
      </c>
      <c r="N328">
        <f t="shared" si="23"/>
        <v>0</v>
      </c>
      <c r="O328" s="5">
        <f t="shared" si="24"/>
        <v>2.235861270319818E-2</v>
      </c>
      <c r="P328">
        <f t="shared" si="25"/>
        <v>0</v>
      </c>
    </row>
    <row r="329" spans="1:16" x14ac:dyDescent="0.25">
      <c r="A329" s="2">
        <f>'Historical Prices'!A327</f>
        <v>45593</v>
      </c>
      <c r="B329" s="3">
        <f>'Historical Prices'!C327/'Historical Prices'!C326-1</f>
        <v>-5.2771615330250432E-3</v>
      </c>
      <c r="C329" s="3">
        <f>'Historical Prices'!B327/'Historical Prices'!B326-1</f>
        <v>-1.4924130290992377E-2</v>
      </c>
      <c r="D329" s="3">
        <f>'Historical Prices'!D327/'Historical Prices'!D326-1</f>
        <v>2.9790204607939019E-2</v>
      </c>
      <c r="E329" s="3">
        <f>'Historical Prices'!E327/'Historical Prices'!E326-1</f>
        <v>1.7721648761936937E-3</v>
      </c>
      <c r="F329" s="3">
        <f>'Historical Prices'!F327/'Historical Prices'!F326-1</f>
        <v>2.2107082216307417E-2</v>
      </c>
      <c r="G329" s="9">
        <f t="shared" si="26"/>
        <v>7.5268243689631965E-3</v>
      </c>
      <c r="H329" s="6">
        <f t="shared" si="27"/>
        <v>7526.8243689631963</v>
      </c>
      <c r="I329" s="9">
        <f t="shared" si="18"/>
        <v>1.2667227179688569E-2</v>
      </c>
      <c r="J329">
        <f t="shared" si="19"/>
        <v>0</v>
      </c>
      <c r="K329" s="5">
        <f t="shared" si="20"/>
        <v>1.5396447656805683E-2</v>
      </c>
      <c r="L329">
        <f t="shared" si="21"/>
        <v>0</v>
      </c>
      <c r="M329" s="9">
        <f t="shared" si="22"/>
        <v>2.4928888025889426E-2</v>
      </c>
      <c r="N329">
        <f t="shared" si="23"/>
        <v>0</v>
      </c>
      <c r="O329" s="5">
        <f t="shared" si="24"/>
        <v>2.2309312398240942E-2</v>
      </c>
      <c r="P329">
        <f t="shared" si="25"/>
        <v>0</v>
      </c>
    </row>
    <row r="330" spans="1:16" x14ac:dyDescent="0.25">
      <c r="A330" s="2">
        <f>'Historical Prices'!A328</f>
        <v>45594</v>
      </c>
      <c r="B330" s="3">
        <f>'Historical Prices'!C328/'Historical Prices'!C327-1</f>
        <v>1.0177652763783129E-2</v>
      </c>
      <c r="C330" s="3">
        <f>'Historical Prices'!B328/'Historical Prices'!B327-1</f>
        <v>1.3016269188519169E-2</v>
      </c>
      <c r="D330" s="3">
        <f>'Historical Prices'!D328/'Historical Prices'!D327-1</f>
        <v>3.0165795294581965E-2</v>
      </c>
      <c r="E330" s="3">
        <f>'Historical Prices'!E328/'Historical Prices'!E327-1</f>
        <v>-2.7380627904650678E-3</v>
      </c>
      <c r="F330" s="3">
        <f>'Historical Prices'!F328/'Historical Prices'!F327-1</f>
        <v>-1.2261827453237339E-2</v>
      </c>
      <c r="G330" s="9">
        <f t="shared" si="26"/>
        <v>8.5496181962968505E-3</v>
      </c>
      <c r="H330" s="6">
        <f t="shared" si="27"/>
        <v>8549.6181962968512</v>
      </c>
      <c r="I330" s="9">
        <f t="shared" si="18"/>
        <v>1.2667227179688569E-2</v>
      </c>
      <c r="J330">
        <f t="shared" si="19"/>
        <v>0</v>
      </c>
      <c r="K330" s="5">
        <f t="shared" si="20"/>
        <v>1.5350697898651598E-2</v>
      </c>
      <c r="L330">
        <f t="shared" si="21"/>
        <v>0</v>
      </c>
      <c r="M330" s="9">
        <f t="shared" si="22"/>
        <v>2.4928888025889426E-2</v>
      </c>
      <c r="N330">
        <f t="shared" si="23"/>
        <v>0</v>
      </c>
      <c r="O330" s="5">
        <f t="shared" si="24"/>
        <v>2.2264372153890623E-2</v>
      </c>
      <c r="P330">
        <f t="shared" si="25"/>
        <v>0</v>
      </c>
    </row>
    <row r="331" spans="1:16" x14ac:dyDescent="0.25">
      <c r="A331" s="2">
        <f>'Historical Prices'!A329</f>
        <v>45595</v>
      </c>
      <c r="B331" s="3">
        <f>'Historical Prices'!C329/'Historical Prices'!C328-1</f>
        <v>-9.8467454459906234E-3</v>
      </c>
      <c r="C331" s="3">
        <f>'Historical Prices'!B329/'Historical Prices'!B328-1</f>
        <v>-1.3860160714774694E-2</v>
      </c>
      <c r="D331" s="3">
        <f>'Historical Prices'!D329/'Historical Prices'!D328-1</f>
        <v>-1.4791375815807029E-2</v>
      </c>
      <c r="E331" s="3">
        <f>'Historical Prices'!E329/'Historical Prices'!E328-1</f>
        <v>-2.0225172634587341E-2</v>
      </c>
      <c r="F331" s="3">
        <f>'Historical Prices'!F329/'Historical Prices'!F328-1</f>
        <v>-1.4270617175131561E-2</v>
      </c>
      <c r="G331" s="9">
        <f t="shared" si="26"/>
        <v>-1.4479326667581185E-2</v>
      </c>
      <c r="H331" s="6">
        <f t="shared" si="27"/>
        <v>-14479.326667581185</v>
      </c>
      <c r="I331" s="9">
        <f t="shared" si="18"/>
        <v>1.2667227179688569E-2</v>
      </c>
      <c r="J331">
        <f t="shared" si="19"/>
        <v>1</v>
      </c>
      <c r="K331" s="5">
        <f t="shared" si="20"/>
        <v>1.5308671674827318E-2</v>
      </c>
      <c r="L331">
        <f t="shared" si="21"/>
        <v>0</v>
      </c>
      <c r="M331" s="9">
        <f t="shared" si="22"/>
        <v>2.4928888025889426E-2</v>
      </c>
      <c r="N331">
        <f t="shared" si="23"/>
        <v>0</v>
      </c>
      <c r="O331" s="5">
        <f t="shared" si="24"/>
        <v>2.2225574764748089E-2</v>
      </c>
      <c r="P331">
        <f t="shared" si="25"/>
        <v>0</v>
      </c>
    </row>
    <row r="332" spans="1:16" x14ac:dyDescent="0.25">
      <c r="A332" s="2">
        <f>'Historical Prices'!A330</f>
        <v>45596</v>
      </c>
      <c r="B332" s="3">
        <f>'Historical Prices'!C330/'Historical Prices'!C329-1</f>
        <v>6.3412584563105057E-4</v>
      </c>
      <c r="C332" s="3">
        <f>'Historical Prices'!B330/'Historical Prices'!B329-1</f>
        <v>-9.2702447999437609E-3</v>
      </c>
      <c r="D332" s="3">
        <f>'Historical Prices'!D330/'Historical Prices'!D329-1</f>
        <v>-1.5166031175916528E-2</v>
      </c>
      <c r="E332" s="3">
        <f>'Historical Prices'!E330/'Historical Prices'!E329-1</f>
        <v>-2.4887563101359311E-2</v>
      </c>
      <c r="F332" s="3">
        <f>'Historical Prices'!F330/'Historical Prices'!F329-1</f>
        <v>7.7002168900546231E-3</v>
      </c>
      <c r="G332" s="9">
        <f t="shared" si="26"/>
        <v>-8.1316402160074332E-3</v>
      </c>
      <c r="H332" s="6">
        <f t="shared" si="27"/>
        <v>-8131.6402160074331</v>
      </c>
      <c r="I332" s="9">
        <f t="shared" si="18"/>
        <v>1.2894825583032022E-2</v>
      </c>
      <c r="J332">
        <f t="shared" si="19"/>
        <v>0</v>
      </c>
      <c r="K332" s="5">
        <f t="shared" si="20"/>
        <v>1.5392039681610592E-2</v>
      </c>
      <c r="L332">
        <f t="shared" si="21"/>
        <v>0</v>
      </c>
      <c r="M332" s="9">
        <f t="shared" si="22"/>
        <v>2.4928888025889426E-2</v>
      </c>
      <c r="N332">
        <f t="shared" si="23"/>
        <v>0</v>
      </c>
      <c r="O332" s="5">
        <f t="shared" si="24"/>
        <v>2.2332020167879326E-2</v>
      </c>
      <c r="P332">
        <f t="shared" si="25"/>
        <v>0</v>
      </c>
    </row>
    <row r="333" spans="1:16" x14ac:dyDescent="0.25">
      <c r="A333" s="2">
        <f>'Historical Prices'!A331</f>
        <v>45597</v>
      </c>
      <c r="B333" s="3">
        <f>'Historical Prices'!C331/'Historical Prices'!C330-1</f>
        <v>9.218923232954257E-4</v>
      </c>
      <c r="C333" s="3">
        <f>'Historical Prices'!B331/'Historical Prices'!B330-1</f>
        <v>8.6240375367652167E-3</v>
      </c>
      <c r="D333" s="3">
        <f>'Historical Prices'!D331/'Historical Prices'!D330-1</f>
        <v>-3.4817313737245392E-4</v>
      </c>
      <c r="E333" s="3">
        <f>'Historical Prices'!E331/'Historical Prices'!E330-1</f>
        <v>2.04859606575436E-3</v>
      </c>
      <c r="F333" s="3">
        <f>'Historical Prices'!F331/'Historical Prices'!F330-1</f>
        <v>3.2654763168819878E-2</v>
      </c>
      <c r="G333" s="9">
        <f t="shared" si="26"/>
        <v>8.382482539950482E-3</v>
      </c>
      <c r="H333" s="6">
        <f t="shared" si="27"/>
        <v>8382.4825399504825</v>
      </c>
      <c r="I333" s="9">
        <f t="shared" si="18"/>
        <v>1.2894825583032022E-2</v>
      </c>
      <c r="J333">
        <f t="shared" si="19"/>
        <v>0</v>
      </c>
      <c r="K333" s="5">
        <f t="shared" si="20"/>
        <v>1.538654001189672E-2</v>
      </c>
      <c r="L333">
        <f t="shared" si="21"/>
        <v>0</v>
      </c>
      <c r="M333" s="9">
        <f t="shared" si="22"/>
        <v>2.4928888025889426E-2</v>
      </c>
      <c r="N333">
        <f t="shared" si="23"/>
        <v>0</v>
      </c>
      <c r="O333" s="5">
        <f t="shared" si="24"/>
        <v>2.2325124214446143E-2</v>
      </c>
      <c r="P333">
        <f t="shared" si="25"/>
        <v>0</v>
      </c>
    </row>
    <row r="334" spans="1:16" x14ac:dyDescent="0.25">
      <c r="A334" s="2">
        <f>'Historical Prices'!A332</f>
        <v>45600</v>
      </c>
      <c r="B334" s="3">
        <f>'Historical Prices'!C332/'Historical Prices'!C331-1</f>
        <v>-1.3354149407211025E-2</v>
      </c>
      <c r="C334" s="3">
        <f>'Historical Prices'!B332/'Historical Prices'!B331-1</f>
        <v>-2.5907448055470295E-2</v>
      </c>
      <c r="D334" s="3">
        <f>'Historical Prices'!D332/'Historical Prices'!D331-1</f>
        <v>-1.1302139009703116E-2</v>
      </c>
      <c r="E334" s="3">
        <f>'Historical Prices'!E332/'Historical Prices'!E331-1</f>
        <v>1.590257079407742E-3</v>
      </c>
      <c r="F334" s="3">
        <f>'Historical Prices'!F332/'Historical Prices'!F331-1</f>
        <v>2.3530272561792742E-2</v>
      </c>
      <c r="G334" s="9">
        <f t="shared" si="26"/>
        <v>-5.3276334575720948E-3</v>
      </c>
      <c r="H334" s="6">
        <f t="shared" si="27"/>
        <v>-5327.6334575720948</v>
      </c>
      <c r="I334" s="9">
        <f t="shared" si="18"/>
        <v>1.2894825583032022E-2</v>
      </c>
      <c r="J334">
        <f t="shared" si="19"/>
        <v>0</v>
      </c>
      <c r="K334" s="5">
        <f t="shared" si="20"/>
        <v>1.5256257665481329E-2</v>
      </c>
      <c r="L334">
        <f t="shared" si="21"/>
        <v>0</v>
      </c>
      <c r="M334" s="9">
        <f t="shared" si="22"/>
        <v>2.4928888025889426E-2</v>
      </c>
      <c r="N334">
        <f t="shared" si="23"/>
        <v>0</v>
      </c>
      <c r="O334" s="5">
        <f t="shared" si="24"/>
        <v>2.2175445440414381E-2</v>
      </c>
      <c r="P334">
        <f t="shared" si="25"/>
        <v>0</v>
      </c>
    </row>
    <row r="335" spans="1:16" x14ac:dyDescent="0.25">
      <c r="A335" s="2">
        <f>'Historical Prices'!A333</f>
        <v>45601</v>
      </c>
      <c r="B335" s="3">
        <f>'Historical Prices'!C333/'Historical Prices'!C332-1</f>
        <v>2.5523628875443682E-2</v>
      </c>
      <c r="C335" s="3">
        <f>'Historical Prices'!B333/'Historical Prices'!B332-1</f>
        <v>2.8483573150585695E-2</v>
      </c>
      <c r="D335" s="3">
        <f>'Historical Prices'!D333/'Historical Prices'!D332-1</f>
        <v>1.5267813193357904E-2</v>
      </c>
      <c r="E335" s="3">
        <f>'Historical Prices'!E333/'Historical Prices'!E332-1</f>
        <v>-5.3582320724523402E-3</v>
      </c>
      <c r="F335" s="3">
        <f>'Historical Prices'!F333/'Historical Prices'!F332-1</f>
        <v>5.374532766955209E-3</v>
      </c>
      <c r="G335" s="9">
        <f t="shared" si="26"/>
        <v>1.4152650171506746E-2</v>
      </c>
      <c r="H335" s="6">
        <f t="shared" si="27"/>
        <v>14152.650171506746</v>
      </c>
      <c r="I335" s="9">
        <f t="shared" si="18"/>
        <v>1.2894825583032022E-2</v>
      </c>
      <c r="J335">
        <f t="shared" si="19"/>
        <v>0</v>
      </c>
      <c r="K335" s="5">
        <f t="shared" si="20"/>
        <v>1.5306174131754247E-2</v>
      </c>
      <c r="L335">
        <f t="shared" si="21"/>
        <v>0</v>
      </c>
      <c r="M335" s="9">
        <f t="shared" si="22"/>
        <v>2.4928888025889426E-2</v>
      </c>
      <c r="N335">
        <f t="shared" si="23"/>
        <v>0</v>
      </c>
      <c r="O335" s="5">
        <f t="shared" si="24"/>
        <v>2.2218804146669182E-2</v>
      </c>
      <c r="P335">
        <f t="shared" si="25"/>
        <v>0</v>
      </c>
    </row>
    <row r="336" spans="1:16" x14ac:dyDescent="0.25">
      <c r="A336" s="2">
        <f>'Historical Prices'!A334</f>
        <v>45602</v>
      </c>
      <c r="B336" s="3">
        <f>'Historical Prices'!C334/'Historical Prices'!C333-1</f>
        <v>-1.479064190870738E-3</v>
      </c>
      <c r="C336" s="3">
        <f>'Historical Prices'!B334/'Historical Prices'!B333-1</f>
        <v>-4.437972784872346E-3</v>
      </c>
      <c r="D336" s="3">
        <f>'Historical Prices'!D334/'Historical Prices'!D333-1</f>
        <v>4.3572703380740929E-3</v>
      </c>
      <c r="E336" s="3">
        <f>'Historical Prices'!E334/'Historical Prices'!E333-1</f>
        <v>3.9619104977800745E-2</v>
      </c>
      <c r="F336" s="3">
        <f>'Historical Prices'!F334/'Historical Prices'!F333-1</f>
        <v>1.2105782835248435E-2</v>
      </c>
      <c r="G336" s="9">
        <f t="shared" si="26"/>
        <v>9.4993200582104455E-3</v>
      </c>
      <c r="H336" s="6">
        <f t="shared" si="27"/>
        <v>9499.3200582104455</v>
      </c>
      <c r="I336" s="9">
        <f t="shared" si="18"/>
        <v>1.2894825583032022E-2</v>
      </c>
      <c r="J336">
        <f t="shared" si="19"/>
        <v>0</v>
      </c>
      <c r="K336" s="5">
        <f t="shared" si="20"/>
        <v>1.5305173073982282E-2</v>
      </c>
      <c r="L336">
        <f t="shared" si="21"/>
        <v>0</v>
      </c>
      <c r="M336" s="9">
        <f t="shared" si="22"/>
        <v>2.4928888025889426E-2</v>
      </c>
      <c r="N336">
        <f t="shared" si="23"/>
        <v>0</v>
      </c>
      <c r="O336" s="5">
        <f t="shared" si="24"/>
        <v>2.2239631076169102E-2</v>
      </c>
      <c r="P336">
        <f t="shared" si="25"/>
        <v>0</v>
      </c>
    </row>
    <row r="337" spans="1:16" x14ac:dyDescent="0.25">
      <c r="A337" s="2">
        <f>'Historical Prices'!A335</f>
        <v>45603</v>
      </c>
      <c r="B337" s="3">
        <f>'Historical Prices'!C335/'Historical Prices'!C334-1</f>
        <v>-4.956576219325215E-3</v>
      </c>
      <c r="C337" s="3">
        <f>'Historical Prices'!B335/'Historical Prices'!B334-1</f>
        <v>-5.6578044012598472E-3</v>
      </c>
      <c r="D337" s="3">
        <f>'Historical Prices'!D335/'Historical Prices'!D334-1</f>
        <v>-1.8159571167762789E-2</v>
      </c>
      <c r="E337" s="3">
        <f>'Historical Prices'!E335/'Historical Prices'!E334-1</f>
        <v>-1.1323044695825457E-2</v>
      </c>
      <c r="F337" s="3">
        <f>'Historical Prices'!F335/'Historical Prices'!F334-1</f>
        <v>-1.4721193661326737E-2</v>
      </c>
      <c r="G337" s="9">
        <f t="shared" si="26"/>
        <v>-1.1154129572049275E-2</v>
      </c>
      <c r="H337" s="6">
        <f t="shared" si="27"/>
        <v>-11154.129572049274</v>
      </c>
      <c r="I337" s="9">
        <f t="shared" si="18"/>
        <v>1.2894825583032022E-2</v>
      </c>
      <c r="J337">
        <f t="shared" si="19"/>
        <v>0</v>
      </c>
      <c r="K337" s="5">
        <f t="shared" si="20"/>
        <v>1.5191727765406447E-2</v>
      </c>
      <c r="L337">
        <f t="shared" si="21"/>
        <v>0</v>
      </c>
      <c r="M337" s="9">
        <f t="shared" si="22"/>
        <v>2.4928888025889426E-2</v>
      </c>
      <c r="N337">
        <f t="shared" si="23"/>
        <v>0</v>
      </c>
      <c r="O337" s="5">
        <f t="shared" si="24"/>
        <v>2.2113405860252462E-2</v>
      </c>
      <c r="P337">
        <f t="shared" si="25"/>
        <v>0</v>
      </c>
    </row>
    <row r="338" spans="1:16" x14ac:dyDescent="0.25">
      <c r="A338" s="2">
        <f>'Historical Prices'!A336</f>
        <v>45604</v>
      </c>
      <c r="B338" s="3">
        <f>'Historical Prices'!C336/'Historical Prices'!C335-1</f>
        <v>4.5232196020057458E-3</v>
      </c>
      <c r="C338" s="3">
        <f>'Historical Prices'!B336/'Historical Prices'!B335-1</f>
        <v>9.0507830519070964E-4</v>
      </c>
      <c r="D338" s="3">
        <f>'Historical Prices'!D336/'Historical Prices'!D335-1</f>
        <v>-1.5523573923166056E-2</v>
      </c>
      <c r="E338" s="3">
        <f>'Historical Prices'!E336/'Historical Prices'!E335-1</f>
        <v>1.4919071217029956E-2</v>
      </c>
      <c r="F338" s="3">
        <f>'Historical Prices'!F336/'Historical Prices'!F335-1</f>
        <v>2.8896523755890025E-2</v>
      </c>
      <c r="G338" s="9">
        <f t="shared" si="26"/>
        <v>5.9032895705441665E-3</v>
      </c>
      <c r="H338" s="6">
        <f t="shared" si="27"/>
        <v>5903.289570544167</v>
      </c>
      <c r="I338" s="9">
        <f t="shared" si="18"/>
        <v>1.2894825583032022E-2</v>
      </c>
      <c r="J338">
        <f t="shared" si="19"/>
        <v>0</v>
      </c>
      <c r="K338" s="5">
        <f t="shared" si="20"/>
        <v>1.525511646282853E-2</v>
      </c>
      <c r="L338">
        <f t="shared" si="21"/>
        <v>0</v>
      </c>
      <c r="M338" s="9">
        <f t="shared" si="22"/>
        <v>2.4928888025889426E-2</v>
      </c>
      <c r="N338">
        <f t="shared" si="23"/>
        <v>0</v>
      </c>
      <c r="O338" s="5">
        <f t="shared" si="24"/>
        <v>2.2192762690618109E-2</v>
      </c>
      <c r="P338">
        <f t="shared" si="25"/>
        <v>0</v>
      </c>
    </row>
    <row r="339" spans="1:16" x14ac:dyDescent="0.25">
      <c r="A339" s="2">
        <f>'Historical Prices'!A337</f>
        <v>45607</v>
      </c>
      <c r="B339" s="3">
        <f>'Historical Prices'!C337/'Historical Prices'!C336-1</f>
        <v>6.7543141610921786E-3</v>
      </c>
      <c r="C339" s="3">
        <f>'Historical Prices'!B337/'Historical Prices'!B336-1</f>
        <v>8.6567138399786803E-3</v>
      </c>
      <c r="D339" s="3">
        <f>'Historical Prices'!D337/'Historical Prices'!D336-1</f>
        <v>8.3013540720351386E-3</v>
      </c>
      <c r="E339" s="3">
        <f>'Historical Prices'!E337/'Historical Prices'!E336-1</f>
        <v>1.6475908731174549E-2</v>
      </c>
      <c r="F339" s="3">
        <f>'Historical Prices'!F337/'Historical Prices'!F336-1</f>
        <v>-1.4891180318413078E-2</v>
      </c>
      <c r="G339" s="9">
        <f t="shared" si="26"/>
        <v>5.0712092344583869E-3</v>
      </c>
      <c r="H339" s="6">
        <f t="shared" si="27"/>
        <v>5071.2092344583871</v>
      </c>
      <c r="I339" s="9">
        <f t="shared" si="18"/>
        <v>1.2894825583032022E-2</v>
      </c>
      <c r="J339">
        <f t="shared" si="19"/>
        <v>0</v>
      </c>
      <c r="K339" s="5">
        <f t="shared" si="20"/>
        <v>1.525604191242156E-2</v>
      </c>
      <c r="L339">
        <f t="shared" si="21"/>
        <v>0</v>
      </c>
      <c r="M339" s="9">
        <f t="shared" si="22"/>
        <v>2.4928888025889426E-2</v>
      </c>
      <c r="N339">
        <f t="shared" si="23"/>
        <v>0</v>
      </c>
      <c r="O339" s="5">
        <f t="shared" si="24"/>
        <v>2.2190452922921825E-2</v>
      </c>
      <c r="P339">
        <f t="shared" si="25"/>
        <v>0</v>
      </c>
    </row>
    <row r="340" spans="1:16" x14ac:dyDescent="0.25">
      <c r="A340" s="2">
        <f>'Historical Prices'!A338</f>
        <v>45608</v>
      </c>
      <c r="B340" s="3">
        <f>'Historical Prices'!C338/'Historical Prices'!C337-1</f>
        <v>-2.7232173690765027E-2</v>
      </c>
      <c r="C340" s="3">
        <f>'Historical Prices'!B338/'Historical Prices'!B337-1</f>
        <v>-1.0973395923298712E-2</v>
      </c>
      <c r="D340" s="3">
        <f>'Historical Prices'!D338/'Historical Prices'!D337-1</f>
        <v>1.0241174329144176E-3</v>
      </c>
      <c r="E340" s="3">
        <f>'Historical Prices'!E338/'Historical Prices'!E337-1</f>
        <v>4.6771931815530188E-3</v>
      </c>
      <c r="F340" s="3">
        <f>'Historical Prices'!F338/'Historical Prices'!F337-1</f>
        <v>-1.0936401479424096E-2</v>
      </c>
      <c r="G340" s="9">
        <f t="shared" si="26"/>
        <v>-8.7698789951453984E-3</v>
      </c>
      <c r="H340" s="6">
        <f t="shared" si="27"/>
        <v>-8769.8789951453982</v>
      </c>
      <c r="I340" s="9">
        <f t="shared" si="18"/>
        <v>1.2894825583032022E-2</v>
      </c>
      <c r="J340">
        <f t="shared" si="19"/>
        <v>0</v>
      </c>
      <c r="K340" s="5">
        <f t="shared" si="20"/>
        <v>1.5258135388541419E-2</v>
      </c>
      <c r="L340">
        <f t="shared" si="21"/>
        <v>0</v>
      </c>
      <c r="M340" s="9">
        <f t="shared" si="22"/>
        <v>2.4928888025889426E-2</v>
      </c>
      <c r="N340">
        <f t="shared" si="23"/>
        <v>0</v>
      </c>
      <c r="O340" s="5">
        <f t="shared" si="24"/>
        <v>2.2188582516578681E-2</v>
      </c>
      <c r="P340">
        <f t="shared" si="25"/>
        <v>0</v>
      </c>
    </row>
    <row r="341" spans="1:16" x14ac:dyDescent="0.25">
      <c r="A341" s="2">
        <f>'Historical Prices'!A339</f>
        <v>45609</v>
      </c>
      <c r="B341" s="3">
        <f>'Historical Prices'!C339/'Historical Prices'!C338-1</f>
        <v>-2.1446785909982391E-2</v>
      </c>
      <c r="C341" s="3">
        <f>'Historical Prices'!B339/'Historical Prices'!B338-1</f>
        <v>-1.6405446741339924E-2</v>
      </c>
      <c r="D341" s="3">
        <f>'Historical Prices'!D339/'Historical Prices'!D338-1</f>
        <v>-1.3300882267025971E-2</v>
      </c>
      <c r="E341" s="3">
        <f>'Historical Prices'!E339/'Historical Prices'!E338-1</f>
        <v>-2.140272424040468E-4</v>
      </c>
      <c r="F341" s="3">
        <f>'Historical Prices'!F339/'Historical Prices'!F338-1</f>
        <v>-3.4361989172949969E-2</v>
      </c>
      <c r="G341" s="9">
        <f t="shared" si="26"/>
        <v>-1.7241390493383996E-2</v>
      </c>
      <c r="H341" s="6">
        <f t="shared" si="27"/>
        <v>-17241.390493383995</v>
      </c>
      <c r="I341" s="9">
        <f t="shared" si="18"/>
        <v>1.2894825583032022E-2</v>
      </c>
      <c r="J341">
        <f t="shared" si="19"/>
        <v>1</v>
      </c>
      <c r="K341" s="5">
        <f t="shared" si="20"/>
        <v>1.5336751304575725E-2</v>
      </c>
      <c r="L341">
        <f t="shared" si="21"/>
        <v>1</v>
      </c>
      <c r="M341" s="9">
        <f t="shared" si="22"/>
        <v>2.4928888025889426E-2</v>
      </c>
      <c r="N341">
        <f t="shared" si="23"/>
        <v>0</v>
      </c>
      <c r="O341" s="5">
        <f t="shared" si="24"/>
        <v>2.2264314713444949E-2</v>
      </c>
      <c r="P341">
        <f t="shared" si="25"/>
        <v>0</v>
      </c>
    </row>
    <row r="342" spans="1:16" x14ac:dyDescent="0.25">
      <c r="A342" s="2">
        <f>'Historical Prices'!A340</f>
        <v>45610</v>
      </c>
      <c r="B342" s="3">
        <f>'Historical Prices'!C340/'Historical Prices'!C339-1</f>
        <v>6.7802584103957564E-3</v>
      </c>
      <c r="C342" s="3">
        <f>'Historical Prices'!B340/'Historical Prices'!B339-1</f>
        <v>1.3605582367439695E-3</v>
      </c>
      <c r="D342" s="3">
        <f>'Historical Prices'!D340/'Historical Prices'!D339-1</f>
        <v>2.5923005536945265E-3</v>
      </c>
      <c r="E342" s="3">
        <f>'Historical Prices'!E340/'Historical Prices'!E339-1</f>
        <v>-2.0605305149637987E-3</v>
      </c>
      <c r="F342" s="3">
        <f>'Historical Prices'!F340/'Historical Prices'!F339-1</f>
        <v>2.9475964006182576E-3</v>
      </c>
      <c r="G342" s="9">
        <f t="shared" si="26"/>
        <v>2.4585413966363252E-3</v>
      </c>
      <c r="H342" s="6">
        <f t="shared" si="27"/>
        <v>2458.5413966363253</v>
      </c>
      <c r="I342" s="9">
        <f t="shared" si="18"/>
        <v>1.3736752523124399E-2</v>
      </c>
      <c r="J342">
        <f t="shared" si="19"/>
        <v>0</v>
      </c>
      <c r="K342" s="5">
        <f t="shared" si="20"/>
        <v>1.5520457507214284E-2</v>
      </c>
      <c r="L342">
        <f t="shared" si="21"/>
        <v>0</v>
      </c>
      <c r="M342" s="9">
        <f t="shared" si="22"/>
        <v>2.4928888025889426E-2</v>
      </c>
      <c r="N342">
        <f t="shared" si="23"/>
        <v>0</v>
      </c>
      <c r="O342" s="5">
        <f t="shared" si="24"/>
        <v>2.2494335042458367E-2</v>
      </c>
      <c r="P342">
        <f t="shared" si="25"/>
        <v>0</v>
      </c>
    </row>
    <row r="343" spans="1:16" x14ac:dyDescent="0.25">
      <c r="A343" s="2">
        <f>'Historical Prices'!A341</f>
        <v>45614</v>
      </c>
      <c r="B343" s="3">
        <f>'Historical Prices'!C341/'Historical Prices'!C340-1</f>
        <v>7.2957629193928231E-3</v>
      </c>
      <c r="C343" s="3">
        <f>'Historical Prices'!B341/'Historical Prices'!B340-1</f>
        <v>-1.2711588262532381E-2</v>
      </c>
      <c r="D343" s="3">
        <f>'Historical Prices'!D341/'Historical Prices'!D340-1</f>
        <v>-2.7844596871149374E-3</v>
      </c>
      <c r="E343" s="3">
        <f>'Historical Prices'!E341/'Historical Prices'!E340-1</f>
        <v>-2.8478787179284426E-2</v>
      </c>
      <c r="F343" s="3">
        <f>'Historical Prices'!F341/'Historical Prices'!F340-1</f>
        <v>1.4142139674779841E-2</v>
      </c>
      <c r="G343" s="9">
        <f t="shared" si="26"/>
        <v>-3.9576180108119039E-3</v>
      </c>
      <c r="H343" s="6">
        <f t="shared" si="27"/>
        <v>-3957.6180108119038</v>
      </c>
      <c r="I343" s="9">
        <f t="shared" si="18"/>
        <v>1.3736752523124399E-2</v>
      </c>
      <c r="J343">
        <f t="shared" si="19"/>
        <v>0</v>
      </c>
      <c r="K343" s="5">
        <f t="shared" si="20"/>
        <v>1.5493247280258552E-2</v>
      </c>
      <c r="L343">
        <f t="shared" si="21"/>
        <v>0</v>
      </c>
      <c r="M343" s="9">
        <f t="shared" si="22"/>
        <v>2.4928888025889426E-2</v>
      </c>
      <c r="N343">
        <f t="shared" si="23"/>
        <v>0</v>
      </c>
      <c r="O343" s="5">
        <f t="shared" si="24"/>
        <v>2.2464838998709803E-2</v>
      </c>
      <c r="P343">
        <f t="shared" si="25"/>
        <v>0</v>
      </c>
    </row>
    <row r="344" spans="1:16" x14ac:dyDescent="0.25">
      <c r="A344" s="2">
        <f>'Historical Prices'!A342</f>
        <v>45615</v>
      </c>
      <c r="B344" s="3">
        <f>'Historical Prices'!C342/'Historical Prices'!C341-1</f>
        <v>2.1787546856377071E-2</v>
      </c>
      <c r="C344" s="3">
        <f>'Historical Prices'!B342/'Historical Prices'!B341-1</f>
        <v>6.8815596566131898E-3</v>
      </c>
      <c r="D344" s="3">
        <f>'Historical Prices'!D342/'Historical Prices'!D341-1</f>
        <v>-3.4703514846723404E-3</v>
      </c>
      <c r="E344" s="3">
        <f>'Historical Prices'!E342/'Historical Prices'!E341-1</f>
        <v>7.3422231169339991E-3</v>
      </c>
      <c r="F344" s="3">
        <f>'Historical Prices'!F342/'Historical Prices'!F341-1</f>
        <v>3.5846008463150669E-2</v>
      </c>
      <c r="G344" s="9">
        <f t="shared" si="26"/>
        <v>1.3333189564783989E-2</v>
      </c>
      <c r="H344" s="6">
        <f t="shared" si="27"/>
        <v>13333.189564783988</v>
      </c>
      <c r="I344" s="9">
        <f t="shared" si="18"/>
        <v>1.3736752523124399E-2</v>
      </c>
      <c r="J344">
        <f t="shared" si="19"/>
        <v>0</v>
      </c>
      <c r="K344" s="5">
        <f t="shared" si="20"/>
        <v>1.5534790503542438E-2</v>
      </c>
      <c r="L344">
        <f t="shared" si="21"/>
        <v>0</v>
      </c>
      <c r="M344" s="9">
        <f t="shared" si="22"/>
        <v>2.4928888025889426E-2</v>
      </c>
      <c r="N344">
        <f t="shared" si="23"/>
        <v>0</v>
      </c>
      <c r="O344" s="5">
        <f t="shared" si="24"/>
        <v>2.2507363794223783E-2</v>
      </c>
      <c r="P344">
        <f t="shared" si="25"/>
        <v>0</v>
      </c>
    </row>
    <row r="345" spans="1:16" x14ac:dyDescent="0.25">
      <c r="A345" s="2">
        <f>'Historical Prices'!A343</f>
        <v>45617</v>
      </c>
      <c r="B345" s="3">
        <f>'Historical Prices'!C343/'Historical Prices'!C342-1</f>
        <v>-6.0261136886841093E-4</v>
      </c>
      <c r="C345" s="3">
        <f>'Historical Prices'!B343/'Historical Prices'!B342-1</f>
        <v>4.5859317961931545E-3</v>
      </c>
      <c r="D345" s="3">
        <f>'Historical Prices'!D343/'Historical Prices'!D342-1</f>
        <v>1.1608453583966671E-3</v>
      </c>
      <c r="E345" s="3">
        <f>'Historical Prices'!E343/'Historical Prices'!E342-1</f>
        <v>5.0965575578236777E-3</v>
      </c>
      <c r="F345" s="3">
        <f>'Historical Prices'!F343/'Historical Prices'!F342-1</f>
        <v>-4.3065913921132015E-3</v>
      </c>
      <c r="G345" s="9">
        <f t="shared" si="26"/>
        <v>1.0904085287134608E-3</v>
      </c>
      <c r="H345" s="6">
        <f t="shared" si="27"/>
        <v>1090.4085287134608</v>
      </c>
      <c r="I345" s="9">
        <f t="shared" si="18"/>
        <v>1.3736752523124399E-2</v>
      </c>
      <c r="J345">
        <f t="shared" si="19"/>
        <v>0</v>
      </c>
      <c r="K345" s="5">
        <f t="shared" si="20"/>
        <v>1.5517462826988255E-2</v>
      </c>
      <c r="L345">
        <f t="shared" si="21"/>
        <v>0</v>
      </c>
      <c r="M345" s="9">
        <f t="shared" si="22"/>
        <v>2.4928888025889426E-2</v>
      </c>
      <c r="N345">
        <f t="shared" si="23"/>
        <v>0</v>
      </c>
      <c r="O345" s="5">
        <f t="shared" si="24"/>
        <v>2.2507975760047667E-2</v>
      </c>
      <c r="P345">
        <f t="shared" si="25"/>
        <v>0</v>
      </c>
    </row>
    <row r="346" spans="1:16" x14ac:dyDescent="0.25">
      <c r="A346" s="2">
        <f>'Historical Prices'!A344</f>
        <v>45618</v>
      </c>
      <c r="B346" s="3">
        <f>'Historical Prices'!C344/'Historical Prices'!C343-1</f>
        <v>2.5270332827169728E-3</v>
      </c>
      <c r="C346" s="3">
        <f>'Historical Prices'!B344/'Historical Prices'!B343-1</f>
        <v>2.8529218943400547E-3</v>
      </c>
      <c r="D346" s="3">
        <f>'Historical Prices'!D344/'Historical Prices'!D343-1</f>
        <v>2.1990313533030159E-2</v>
      </c>
      <c r="E346" s="3">
        <f>'Historical Prices'!E344/'Historical Prices'!E343-1</f>
        <v>3.7185402072266616E-2</v>
      </c>
      <c r="F346" s="3">
        <f>'Historical Prices'!F344/'Historical Prices'!F343-1</f>
        <v>2.6121716935853634E-2</v>
      </c>
      <c r="G346" s="9">
        <f t="shared" si="26"/>
        <v>1.7963855495890454E-2</v>
      </c>
      <c r="H346" s="6">
        <f t="shared" si="27"/>
        <v>17963.855495890453</v>
      </c>
      <c r="I346" s="9">
        <f t="shared" si="18"/>
        <v>1.3736752523124399E-2</v>
      </c>
      <c r="J346">
        <f t="shared" si="19"/>
        <v>0</v>
      </c>
      <c r="K346" s="5">
        <f t="shared" si="20"/>
        <v>1.5515334582782715E-2</v>
      </c>
      <c r="L346">
        <f t="shared" si="21"/>
        <v>0</v>
      </c>
      <c r="M346" s="9">
        <f t="shared" si="22"/>
        <v>2.4928888025889426E-2</v>
      </c>
      <c r="N346">
        <f t="shared" si="23"/>
        <v>0</v>
      </c>
      <c r="O346" s="5">
        <f t="shared" si="24"/>
        <v>2.2505780461697569E-2</v>
      </c>
      <c r="P346">
        <f t="shared" si="25"/>
        <v>0</v>
      </c>
    </row>
    <row r="347" spans="1:16" x14ac:dyDescent="0.25">
      <c r="A347" s="2">
        <f>'Historical Prices'!A345</f>
        <v>45621</v>
      </c>
      <c r="B347" s="3">
        <f>'Historical Prices'!C345/'Historical Prices'!C344-1</f>
        <v>2.2914650980040641E-2</v>
      </c>
      <c r="C347" s="3">
        <f>'Historical Prices'!B345/'Historical Prices'!B344-1</f>
        <v>1.1817289398741604E-2</v>
      </c>
      <c r="D347" s="3">
        <f>'Historical Prices'!D345/'Historical Prices'!D344-1</f>
        <v>1.791791540151233E-2</v>
      </c>
      <c r="E347" s="3">
        <f>'Historical Prices'!E345/'Historical Prices'!E344-1</f>
        <v>-6.5974877706175272E-3</v>
      </c>
      <c r="F347" s="3">
        <f>'Historical Prices'!F345/'Historical Prices'!F344-1</f>
        <v>1.0836655398964057E-2</v>
      </c>
      <c r="G347" s="9">
        <f t="shared" si="26"/>
        <v>1.1963505937965887E-2</v>
      </c>
      <c r="H347" s="6">
        <f t="shared" si="27"/>
        <v>11963.505937965887</v>
      </c>
      <c r="I347" s="9">
        <f t="shared" si="18"/>
        <v>1.3736752523124399E-2</v>
      </c>
      <c r="J347">
        <f t="shared" si="19"/>
        <v>0</v>
      </c>
      <c r="K347" s="5">
        <f t="shared" si="20"/>
        <v>1.5543259866872168E-2</v>
      </c>
      <c r="L347">
        <f t="shared" si="21"/>
        <v>0</v>
      </c>
      <c r="M347" s="9">
        <f t="shared" si="22"/>
        <v>2.4928888025889426E-2</v>
      </c>
      <c r="N347">
        <f t="shared" si="23"/>
        <v>0</v>
      </c>
      <c r="O347" s="5">
        <f t="shared" si="24"/>
        <v>2.2554914840129867E-2</v>
      </c>
      <c r="P347">
        <f t="shared" si="25"/>
        <v>0</v>
      </c>
    </row>
    <row r="348" spans="1:16" x14ac:dyDescent="0.25">
      <c r="A348" s="2">
        <f>'Historical Prices'!A346</f>
        <v>45622</v>
      </c>
      <c r="B348" s="3">
        <f>'Historical Prices'!C346/'Historical Prices'!C345-1</f>
        <v>-2.7962222403643544E-5</v>
      </c>
      <c r="C348" s="3">
        <f>'Historical Prices'!B346/'Historical Prices'!B345-1</f>
        <v>-9.6029546771723151E-3</v>
      </c>
      <c r="D348" s="3">
        <f>'Historical Prices'!D346/'Historical Prices'!D345-1</f>
        <v>3.0746522124482922E-3</v>
      </c>
      <c r="E348" s="3">
        <f>'Historical Prices'!E346/'Historical Prices'!E345-1</f>
        <v>1.8230494143163689E-2</v>
      </c>
      <c r="F348" s="3">
        <f>'Historical Prices'!F346/'Historical Prices'!F345-1</f>
        <v>-1.9831963513570305E-2</v>
      </c>
      <c r="G348" s="9">
        <f t="shared" si="26"/>
        <v>-1.5425877572522785E-3</v>
      </c>
      <c r="H348" s="6">
        <f t="shared" si="27"/>
        <v>-1542.5877572522784</v>
      </c>
      <c r="I348" s="9">
        <f t="shared" si="18"/>
        <v>1.3736752523124399E-2</v>
      </c>
      <c r="J348">
        <f t="shared" si="19"/>
        <v>0</v>
      </c>
      <c r="K348" s="5">
        <f t="shared" si="20"/>
        <v>1.5545770425202582E-2</v>
      </c>
      <c r="L348">
        <f t="shared" si="21"/>
        <v>0</v>
      </c>
      <c r="M348" s="9">
        <f t="shared" si="22"/>
        <v>2.4928888025889426E-2</v>
      </c>
      <c r="N348">
        <f t="shared" si="23"/>
        <v>0</v>
      </c>
      <c r="O348" s="5">
        <f t="shared" si="24"/>
        <v>2.2571126153003034E-2</v>
      </c>
      <c r="P348">
        <f t="shared" si="25"/>
        <v>0</v>
      </c>
    </row>
    <row r="349" spans="1:16" x14ac:dyDescent="0.25">
      <c r="A349" s="2">
        <f>'Historical Prices'!A347</f>
        <v>45623</v>
      </c>
      <c r="B349" s="3">
        <f>'Historical Prices'!C347/'Historical Prices'!C346-1</f>
        <v>1.4981478911879842E-2</v>
      </c>
      <c r="C349" s="3">
        <f>'Historical Prices'!B347/'Historical Prices'!B346-1</f>
        <v>4.2364748889063275E-3</v>
      </c>
      <c r="D349" s="3">
        <f>'Historical Prices'!D347/'Historical Prices'!D346-1</f>
        <v>-3.2568697888993858E-3</v>
      </c>
      <c r="E349" s="3">
        <f>'Historical Prices'!E347/'Historical Prices'!E346-1</f>
        <v>1.8191175238002621E-4</v>
      </c>
      <c r="F349" s="3">
        <f>'Historical Prices'!F347/'Historical Prices'!F346-1</f>
        <v>6.5657169838921892E-3</v>
      </c>
      <c r="G349" s="9">
        <f t="shared" si="26"/>
        <v>4.4921822147927521E-3</v>
      </c>
      <c r="H349" s="6">
        <f t="shared" si="27"/>
        <v>4492.1822147927523</v>
      </c>
      <c r="I349" s="9">
        <f t="shared" si="18"/>
        <v>1.3736752523124399E-2</v>
      </c>
      <c r="J349">
        <f t="shared" si="19"/>
        <v>0</v>
      </c>
      <c r="K349" s="5">
        <f t="shared" si="20"/>
        <v>1.5486759397057018E-2</v>
      </c>
      <c r="L349">
        <f t="shared" si="21"/>
        <v>0</v>
      </c>
      <c r="M349" s="9">
        <f t="shared" si="22"/>
        <v>2.4928888025889426E-2</v>
      </c>
      <c r="N349">
        <f t="shared" si="23"/>
        <v>0</v>
      </c>
      <c r="O349" s="5">
        <f t="shared" si="24"/>
        <v>2.2499579646028531E-2</v>
      </c>
      <c r="P349">
        <f t="shared" si="25"/>
        <v>0</v>
      </c>
    </row>
    <row r="350" spans="1:16" x14ac:dyDescent="0.25">
      <c r="A350" s="2">
        <f>'Historical Prices'!A348</f>
        <v>45624</v>
      </c>
      <c r="B350" s="3">
        <f>'Historical Prices'!C348/'Historical Prices'!C347-1</f>
        <v>-1.0566739396116298E-2</v>
      </c>
      <c r="C350" s="3">
        <f>'Historical Prices'!B348/'Historical Prices'!B347-1</f>
        <v>-1.4917514114920261E-2</v>
      </c>
      <c r="D350" s="3">
        <f>'Historical Prices'!D348/'Historical Prices'!D347-1</f>
        <v>-1.1032536923663683E-2</v>
      </c>
      <c r="E350" s="3">
        <f>'Historical Prices'!E348/'Historical Prices'!E347-1</f>
        <v>-3.5255971871924086E-2</v>
      </c>
      <c r="F350" s="3">
        <f>'Historical Prices'!F348/'Historical Prices'!F347-1</f>
        <v>-3.5310124027099321E-2</v>
      </c>
      <c r="G350" s="9">
        <f t="shared" si="26"/>
        <v>-2.0797488068789154E-2</v>
      </c>
      <c r="H350" s="6">
        <f t="shared" si="27"/>
        <v>-20797.488068789153</v>
      </c>
      <c r="I350" s="9">
        <f t="shared" si="18"/>
        <v>1.3736752523124399E-2</v>
      </c>
      <c r="J350">
        <f t="shared" si="19"/>
        <v>1</v>
      </c>
      <c r="K350" s="5">
        <f t="shared" si="20"/>
        <v>1.5436764455709791E-2</v>
      </c>
      <c r="L350">
        <f t="shared" si="21"/>
        <v>1</v>
      </c>
      <c r="M350" s="9">
        <f t="shared" si="22"/>
        <v>2.4928888025889426E-2</v>
      </c>
      <c r="N350">
        <f t="shared" si="23"/>
        <v>0</v>
      </c>
      <c r="O350" s="5">
        <f t="shared" si="24"/>
        <v>2.2444922336565785E-2</v>
      </c>
      <c r="P350">
        <f t="shared" si="25"/>
        <v>0</v>
      </c>
    </row>
    <row r="351" spans="1:16" x14ac:dyDescent="0.25">
      <c r="A351" s="2">
        <f>'Historical Prices'!A349</f>
        <v>45625</v>
      </c>
      <c r="B351" s="3">
        <f>'Historical Prices'!C349/'Historical Prices'!C348-1</f>
        <v>1.6173648595572132E-3</v>
      </c>
      <c r="C351" s="3">
        <f>'Historical Prices'!B349/'Historical Prices'!B348-1</f>
        <v>3.3555108705920489E-3</v>
      </c>
      <c r="D351" s="3">
        <f>'Historical Prices'!D349/'Historical Prices'!D348-1</f>
        <v>1.06892515084136E-2</v>
      </c>
      <c r="E351" s="3">
        <f>'Historical Prices'!E349/'Historical Prices'!E348-1</f>
        <v>6.4635273030133611E-4</v>
      </c>
      <c r="F351" s="3">
        <f>'Historical Prices'!F349/'Historical Prices'!F348-1</f>
        <v>2.3251805651678836E-2</v>
      </c>
      <c r="G351" s="9">
        <f t="shared" si="26"/>
        <v>8.0027732965247574E-3</v>
      </c>
      <c r="H351" s="6">
        <f t="shared" si="27"/>
        <v>8002.7732965247569</v>
      </c>
      <c r="I351" s="9">
        <f t="shared" si="18"/>
        <v>1.4431673204261019E-2</v>
      </c>
      <c r="J351">
        <f t="shared" si="19"/>
        <v>0</v>
      </c>
      <c r="K351" s="5">
        <f t="shared" si="20"/>
        <v>1.5693361264400504E-2</v>
      </c>
      <c r="L351">
        <f t="shared" si="21"/>
        <v>0</v>
      </c>
      <c r="M351" s="9">
        <f t="shared" si="22"/>
        <v>2.4928888025889426E-2</v>
      </c>
      <c r="N351">
        <f t="shared" si="23"/>
        <v>0</v>
      </c>
      <c r="O351" s="5">
        <f t="shared" si="24"/>
        <v>2.2765479254450594E-2</v>
      </c>
      <c r="P351">
        <f t="shared" si="25"/>
        <v>0</v>
      </c>
    </row>
    <row r="352" spans="1:16" x14ac:dyDescent="0.25">
      <c r="A352" s="2">
        <f>'Historical Prices'!A350</f>
        <v>45628</v>
      </c>
      <c r="B352" s="3">
        <f>'Historical Prices'!C350/'Historical Prices'!C349-1</f>
        <v>4.8160399752954497E-3</v>
      </c>
      <c r="C352" s="3">
        <f>'Historical Prices'!B350/'Historical Prices'!B349-1</f>
        <v>7.0393626482223581E-4</v>
      </c>
      <c r="D352" s="3">
        <f>'Historical Prices'!D350/'Historical Prices'!D349-1</f>
        <v>3.4997332668738057E-3</v>
      </c>
      <c r="E352" s="3">
        <f>'Historical Prices'!E350/'Historical Prices'!E349-1</f>
        <v>1.1814822962534333E-2</v>
      </c>
      <c r="F352" s="3">
        <f>'Historical Prices'!F350/'Historical Prices'!F349-1</f>
        <v>1.6958153577598445E-2</v>
      </c>
      <c r="G352" s="9">
        <f t="shared" si="26"/>
        <v>7.3908012879602067E-3</v>
      </c>
      <c r="H352" s="6">
        <f t="shared" si="27"/>
        <v>7390.8012879602065</v>
      </c>
      <c r="I352" s="9">
        <f t="shared" si="18"/>
        <v>1.4431673204261019E-2</v>
      </c>
      <c r="J352">
        <f t="shared" si="19"/>
        <v>0</v>
      </c>
      <c r="K352" s="5">
        <f t="shared" si="20"/>
        <v>1.5674570343370168E-2</v>
      </c>
      <c r="L352">
        <f t="shared" si="21"/>
        <v>0</v>
      </c>
      <c r="M352" s="9">
        <f t="shared" si="22"/>
        <v>2.4928888025889426E-2</v>
      </c>
      <c r="N352">
        <f t="shared" si="23"/>
        <v>0</v>
      </c>
      <c r="O352" s="5">
        <f t="shared" si="24"/>
        <v>2.2752188723876604E-2</v>
      </c>
      <c r="P352">
        <f t="shared" si="25"/>
        <v>0</v>
      </c>
    </row>
    <row r="353" spans="1:16" x14ac:dyDescent="0.25">
      <c r="A353" s="2">
        <f>'Historical Prices'!A351</f>
        <v>45629</v>
      </c>
      <c r="B353" s="3">
        <f>'Historical Prices'!C351/'Historical Prices'!C350-1</f>
        <v>1.1968768182130773E-2</v>
      </c>
      <c r="C353" s="3">
        <f>'Historical Prices'!B351/'Historical Prices'!B350-1</f>
        <v>2.0578608788798913E-2</v>
      </c>
      <c r="D353" s="3">
        <f>'Historical Prices'!D351/'Historical Prices'!D350-1</f>
        <v>2.8743413641207916E-3</v>
      </c>
      <c r="E353" s="3">
        <f>'Historical Prices'!E351/'Historical Prices'!E350-1</f>
        <v>6.5432181154900793E-3</v>
      </c>
      <c r="F353" s="3">
        <f>'Historical Prices'!F351/'Historical Prices'!F350-1</f>
        <v>3.613638548423781E-3</v>
      </c>
      <c r="G353" s="9">
        <f t="shared" si="26"/>
        <v>8.8687870604707997E-3</v>
      </c>
      <c r="H353" s="6">
        <f t="shared" si="27"/>
        <v>8868.7870604708005</v>
      </c>
      <c r="I353" s="9">
        <f t="shared" si="18"/>
        <v>1.4431673204261019E-2</v>
      </c>
      <c r="J353">
        <f t="shared" si="19"/>
        <v>0</v>
      </c>
      <c r="K353" s="5">
        <f t="shared" si="20"/>
        <v>1.5658857783286108E-2</v>
      </c>
      <c r="L353">
        <f t="shared" si="21"/>
        <v>0</v>
      </c>
      <c r="M353" s="9">
        <f t="shared" si="22"/>
        <v>2.4928888025889426E-2</v>
      </c>
      <c r="N353">
        <f t="shared" si="23"/>
        <v>0</v>
      </c>
      <c r="O353" s="5">
        <f t="shared" si="24"/>
        <v>2.274109656892161E-2</v>
      </c>
      <c r="P353">
        <f t="shared" si="25"/>
        <v>0</v>
      </c>
    </row>
    <row r="354" spans="1:16" x14ac:dyDescent="0.25">
      <c r="A354" s="2">
        <f>'Historical Prices'!A352</f>
        <v>45630</v>
      </c>
      <c r="B354" s="3">
        <f>'Historical Prices'!C352/'Historical Prices'!C351-1</f>
        <v>1.8507308965340918E-2</v>
      </c>
      <c r="C354" s="3">
        <f>'Historical Prices'!B352/'Historical Prices'!B351-1</f>
        <v>-9.0482119666923655E-4</v>
      </c>
      <c r="D354" s="3">
        <f>'Historical Prices'!D352/'Historical Prices'!D351-1</f>
        <v>5.8468315764745871E-3</v>
      </c>
      <c r="E354" s="3">
        <f>'Historical Prices'!E352/'Historical Prices'!E351-1</f>
        <v>-1.5062756168139346E-3</v>
      </c>
      <c r="F354" s="3">
        <f>'Historical Prices'!F352/'Historical Prices'!F351-1</f>
        <v>1.4699555752053506E-3</v>
      </c>
      <c r="G354" s="9">
        <f t="shared" si="26"/>
        <v>5.0692896993674774E-3</v>
      </c>
      <c r="H354" s="6">
        <f t="shared" si="27"/>
        <v>5069.2896993674776</v>
      </c>
      <c r="I354" s="9">
        <f t="shared" si="18"/>
        <v>1.4431673204261019E-2</v>
      </c>
      <c r="J354">
        <f t="shared" si="19"/>
        <v>0</v>
      </c>
      <c r="K354" s="5">
        <f t="shared" si="20"/>
        <v>1.5655349289053214E-2</v>
      </c>
      <c r="L354">
        <f t="shared" si="21"/>
        <v>0</v>
      </c>
      <c r="M354" s="9">
        <f t="shared" si="22"/>
        <v>2.4928888025889426E-2</v>
      </c>
      <c r="N354">
        <f t="shared" si="23"/>
        <v>0</v>
      </c>
      <c r="O354" s="5">
        <f t="shared" si="24"/>
        <v>2.2743822536447505E-2</v>
      </c>
      <c r="P354">
        <f t="shared" si="25"/>
        <v>0</v>
      </c>
    </row>
    <row r="355" spans="1:16" x14ac:dyDescent="0.25">
      <c r="A355" s="2">
        <f>'Historical Prices'!A353</f>
        <v>45631</v>
      </c>
      <c r="B355" s="3">
        <f>'Historical Prices'!C353/'Historical Prices'!C352-1</f>
        <v>3.0375058442828617E-3</v>
      </c>
      <c r="C355" s="3">
        <f>'Historical Prices'!B353/'Historical Prices'!B352-1</f>
        <v>5.99433289147977E-3</v>
      </c>
      <c r="D355" s="3">
        <f>'Historical Prices'!D353/'Historical Prices'!D352-1</f>
        <v>1.5538937313290369E-2</v>
      </c>
      <c r="E355" s="3">
        <f>'Historical Prices'!E353/'Historical Prices'!E352-1</f>
        <v>2.4136494632441607E-2</v>
      </c>
      <c r="F355" s="3">
        <f>'Historical Prices'!F353/'Historical Prices'!F352-1</f>
        <v>1.314431380854697E-2</v>
      </c>
      <c r="G355" s="9">
        <f t="shared" si="26"/>
        <v>1.2270480633322112E-2</v>
      </c>
      <c r="H355" s="6">
        <f t="shared" si="27"/>
        <v>12270.480633322111</v>
      </c>
      <c r="I355" s="9">
        <f t="shared" si="18"/>
        <v>1.4431673204261019E-2</v>
      </c>
      <c r="J355">
        <f t="shared" si="19"/>
        <v>0</v>
      </c>
      <c r="K355" s="5">
        <f t="shared" si="20"/>
        <v>1.5650920406985538E-2</v>
      </c>
      <c r="L355">
        <f t="shared" si="21"/>
        <v>0</v>
      </c>
      <c r="M355" s="9">
        <f t="shared" si="22"/>
        <v>2.4928888025889426E-2</v>
      </c>
      <c r="N355">
        <f t="shared" si="23"/>
        <v>0</v>
      </c>
      <c r="O355" s="5">
        <f t="shared" si="24"/>
        <v>2.2740730716587904E-2</v>
      </c>
      <c r="P355">
        <f t="shared" si="25"/>
        <v>0</v>
      </c>
    </row>
    <row r="356" spans="1:16" x14ac:dyDescent="0.25">
      <c r="A356" s="2">
        <f>'Historical Prices'!A354</f>
        <v>45632</v>
      </c>
      <c r="B356" s="3">
        <f>'Historical Prices'!C354/'Historical Prices'!C353-1</f>
        <v>-5.3062281008047218E-3</v>
      </c>
      <c r="C356" s="3">
        <f>'Historical Prices'!B354/'Historical Prices'!B353-1</f>
        <v>1.5560661505532147E-2</v>
      </c>
      <c r="D356" s="3">
        <f>'Historical Prices'!D354/'Historical Prices'!D353-1</f>
        <v>-5.7987116139905925E-3</v>
      </c>
      <c r="E356" s="3">
        <f>'Historical Prices'!E354/'Historical Prices'!E353-1</f>
        <v>-6.4345644415059189E-3</v>
      </c>
      <c r="F356" s="3">
        <f>'Historical Prices'!F354/'Historical Prices'!F353-1</f>
        <v>4.5574172228435295E-4</v>
      </c>
      <c r="G356" s="9">
        <f t="shared" si="26"/>
        <v>-6.7054052761633481E-4</v>
      </c>
      <c r="H356" s="6">
        <f t="shared" si="27"/>
        <v>-670.54052761633477</v>
      </c>
      <c r="I356" s="9">
        <f t="shared" si="18"/>
        <v>1.4431673204261019E-2</v>
      </c>
      <c r="J356">
        <f t="shared" si="19"/>
        <v>0</v>
      </c>
      <c r="K356" s="5">
        <f t="shared" si="20"/>
        <v>1.5579113325966214E-2</v>
      </c>
      <c r="L356">
        <f t="shared" si="21"/>
        <v>0</v>
      </c>
      <c r="M356" s="9">
        <f t="shared" si="22"/>
        <v>2.4928888025889426E-2</v>
      </c>
      <c r="N356">
        <f t="shared" si="23"/>
        <v>0</v>
      </c>
      <c r="O356" s="5">
        <f t="shared" si="24"/>
        <v>2.2620718473664814E-2</v>
      </c>
      <c r="P356">
        <f t="shared" si="25"/>
        <v>0</v>
      </c>
    </row>
    <row r="357" spans="1:16" x14ac:dyDescent="0.25">
      <c r="A357" s="2">
        <f>'Historical Prices'!A355</f>
        <v>45635</v>
      </c>
      <c r="B357" s="3">
        <f>'Historical Prices'!C355/'Historical Prices'!C354-1</f>
        <v>7.624538993577179E-3</v>
      </c>
      <c r="C357" s="3">
        <f>'Historical Prices'!B355/'Historical Prices'!B354-1</f>
        <v>-1.7981588914042779E-2</v>
      </c>
      <c r="D357" s="3">
        <f>'Historical Prices'!D355/'Historical Prices'!D354-1</f>
        <v>-4.8542356931401409E-3</v>
      </c>
      <c r="E357" s="3">
        <f>'Historical Prices'!E355/'Historical Prices'!E354-1</f>
        <v>6.5029533467209077E-4</v>
      </c>
      <c r="F357" s="3">
        <f>'Historical Prices'!F355/'Historical Prices'!F354-1</f>
        <v>-7.0778137890800119E-3</v>
      </c>
      <c r="G357" s="9">
        <f t="shared" si="26"/>
        <v>-4.0604408833538261E-3</v>
      </c>
      <c r="H357" s="6">
        <f t="shared" si="27"/>
        <v>-4060.4408833538259</v>
      </c>
      <c r="I357" s="9">
        <f t="shared" si="18"/>
        <v>1.4431673204261019E-2</v>
      </c>
      <c r="J357">
        <f t="shared" si="19"/>
        <v>0</v>
      </c>
      <c r="K357" s="5">
        <f t="shared" si="20"/>
        <v>1.5597318473804613E-2</v>
      </c>
      <c r="L357">
        <f t="shared" si="21"/>
        <v>0</v>
      </c>
      <c r="M357" s="9">
        <f t="shared" si="22"/>
        <v>2.4928888025889426E-2</v>
      </c>
      <c r="N357">
        <f t="shared" si="23"/>
        <v>0</v>
      </c>
      <c r="O357" s="5">
        <f t="shared" si="24"/>
        <v>2.2638515082281773E-2</v>
      </c>
      <c r="P357">
        <f t="shared" si="25"/>
        <v>0</v>
      </c>
    </row>
    <row r="358" spans="1:16" x14ac:dyDescent="0.25">
      <c r="A358" s="2">
        <f>'Historical Prices'!A356</f>
        <v>45636</v>
      </c>
      <c r="B358" s="3">
        <f>'Historical Prices'!C356/'Historical Prices'!C355-1</f>
        <v>-1.0160193026853559E-3</v>
      </c>
      <c r="C358" s="3">
        <f>'Historical Prices'!B356/'Historical Prices'!B355-1</f>
        <v>-8.2526887851825936E-3</v>
      </c>
      <c r="D358" s="3">
        <f>'Historical Prices'!D356/'Historical Prices'!D355-1</f>
        <v>6.1634373328360859E-3</v>
      </c>
      <c r="E358" s="3">
        <f>'Historical Prices'!E356/'Historical Prices'!E355-1</f>
        <v>1.2944054942814143E-2</v>
      </c>
      <c r="F358" s="3">
        <f>'Historical Prices'!F356/'Historical Prices'!F355-1</f>
        <v>5.1290753311696857E-3</v>
      </c>
      <c r="G358" s="9">
        <f t="shared" si="26"/>
        <v>3.0458180174147836E-3</v>
      </c>
      <c r="H358" s="6">
        <f t="shared" si="27"/>
        <v>3045.8180174147838</v>
      </c>
      <c r="I358" s="9">
        <f t="shared" si="18"/>
        <v>1.4431673204261019E-2</v>
      </c>
      <c r="J358">
        <f t="shared" si="19"/>
        <v>0</v>
      </c>
      <c r="K358" s="5">
        <f t="shared" si="20"/>
        <v>1.5638208584277766E-2</v>
      </c>
      <c r="L358">
        <f t="shared" si="21"/>
        <v>0</v>
      </c>
      <c r="M358" s="9">
        <f t="shared" si="22"/>
        <v>2.4928888025889426E-2</v>
      </c>
      <c r="N358">
        <f t="shared" si="23"/>
        <v>0</v>
      </c>
      <c r="O358" s="5">
        <f t="shared" si="24"/>
        <v>2.2681905562101205E-2</v>
      </c>
      <c r="P358">
        <f t="shared" si="25"/>
        <v>0</v>
      </c>
    </row>
    <row r="359" spans="1:16" x14ac:dyDescent="0.25">
      <c r="A359" s="2">
        <f>'Historical Prices'!A357</f>
        <v>45637</v>
      </c>
      <c r="B359" s="3">
        <f>'Historical Prices'!C357/'Historical Prices'!C356-1</f>
        <v>-2.6765039429555992E-3</v>
      </c>
      <c r="C359" s="3">
        <f>'Historical Prices'!B357/'Historical Prices'!B356-1</f>
        <v>-5.5476455891321219E-3</v>
      </c>
      <c r="D359" s="3">
        <f>'Historical Prices'!D357/'Historical Prices'!D356-1</f>
        <v>-2.2172136524044594E-3</v>
      </c>
      <c r="E359" s="3">
        <f>'Historical Prices'!E357/'Historical Prices'!E356-1</f>
        <v>1.3137980990839182E-2</v>
      </c>
      <c r="F359" s="3">
        <f>'Historical Prices'!F357/'Historical Prices'!F356-1</f>
        <v>1.6792360023527575E-3</v>
      </c>
      <c r="G359" s="9">
        <f t="shared" si="26"/>
        <v>6.5312794643998789E-4</v>
      </c>
      <c r="H359" s="6">
        <f t="shared" si="27"/>
        <v>653.12794643998791</v>
      </c>
      <c r="I359" s="9">
        <f t="shared" si="18"/>
        <v>1.4431673204261019E-2</v>
      </c>
      <c r="J359">
        <f t="shared" si="19"/>
        <v>0</v>
      </c>
      <c r="K359" s="5">
        <f t="shared" si="20"/>
        <v>1.5525689993823607E-2</v>
      </c>
      <c r="L359">
        <f t="shared" si="21"/>
        <v>0</v>
      </c>
      <c r="M359" s="9">
        <f t="shared" si="22"/>
        <v>2.4928888025889426E-2</v>
      </c>
      <c r="N359">
        <f t="shared" si="23"/>
        <v>0</v>
      </c>
      <c r="O359" s="5">
        <f t="shared" si="24"/>
        <v>2.2483445091733611E-2</v>
      </c>
      <c r="P359">
        <f t="shared" si="25"/>
        <v>0</v>
      </c>
    </row>
    <row r="360" spans="1:16" x14ac:dyDescent="0.25">
      <c r="A360" s="2">
        <f>'Historical Prices'!A358</f>
        <v>45638</v>
      </c>
      <c r="B360" s="3">
        <f>'Historical Prices'!C358/'Historical Prices'!C357-1</f>
        <v>-2.0664307673801119E-3</v>
      </c>
      <c r="C360" s="3">
        <f>'Historical Prices'!B358/'Historical Prices'!B357-1</f>
        <v>-1.3945418367883322E-3</v>
      </c>
      <c r="D360" s="3">
        <f>'Historical Prices'!D358/'Historical Prices'!D357-1</f>
        <v>1.3182395974060679E-3</v>
      </c>
      <c r="E360" s="3">
        <f>'Historical Prices'!E358/'Historical Prices'!E357-1</f>
        <v>6.5092052599700079E-3</v>
      </c>
      <c r="F360" s="3">
        <f>'Historical Prices'!F358/'Historical Prices'!F357-1</f>
        <v>-1.4974375264255047E-3</v>
      </c>
      <c r="G360" s="9">
        <f t="shared" si="26"/>
        <v>5.1880874930604532E-4</v>
      </c>
      <c r="H360" s="6">
        <f t="shared" si="27"/>
        <v>518.80874930604534</v>
      </c>
      <c r="I360" s="9">
        <f t="shared" si="18"/>
        <v>1.4431673204261019E-2</v>
      </c>
      <c r="J360">
        <f t="shared" si="19"/>
        <v>0</v>
      </c>
      <c r="K360" s="5">
        <f t="shared" si="20"/>
        <v>1.5538041772108123E-2</v>
      </c>
      <c r="L360">
        <f t="shared" si="21"/>
        <v>0</v>
      </c>
      <c r="M360" s="9">
        <f t="shared" si="22"/>
        <v>2.4928888025889426E-2</v>
      </c>
      <c r="N360">
        <f t="shared" si="23"/>
        <v>0</v>
      </c>
      <c r="O360" s="5">
        <f t="shared" si="24"/>
        <v>2.2485085937702556E-2</v>
      </c>
      <c r="P360">
        <f t="shared" si="25"/>
        <v>0</v>
      </c>
    </row>
    <row r="361" spans="1:16" x14ac:dyDescent="0.25">
      <c r="A361" s="2">
        <f>'Historical Prices'!A359</f>
        <v>45639</v>
      </c>
      <c r="B361" s="3">
        <f>'Historical Prices'!C359/'Historical Prices'!C358-1</f>
        <v>6.7231775883889178E-3</v>
      </c>
      <c r="C361" s="3">
        <f>'Historical Prices'!B359/'Historical Prices'!B358-1</f>
        <v>2.1821946280256022E-3</v>
      </c>
      <c r="D361" s="3">
        <f>'Historical Prices'!D359/'Historical Prices'!D358-1</f>
        <v>1.1773598992114165E-2</v>
      </c>
      <c r="E361" s="3">
        <f>'Historical Prices'!E359/'Historical Prices'!E358-1</f>
        <v>6.3914379313680936E-3</v>
      </c>
      <c r="F361" s="3">
        <f>'Historical Prices'!F359/'Historical Prices'!F358-1</f>
        <v>4.5477743308359742E-3</v>
      </c>
      <c r="G361" s="9">
        <f t="shared" si="26"/>
        <v>6.5576066222979073E-3</v>
      </c>
      <c r="H361" s="6">
        <f t="shared" si="27"/>
        <v>6557.6066222979071</v>
      </c>
      <c r="I361" s="9">
        <f t="shared" si="18"/>
        <v>1.4431673204261019E-2</v>
      </c>
      <c r="J361">
        <f t="shared" si="19"/>
        <v>0</v>
      </c>
      <c r="K361" s="5">
        <f t="shared" si="20"/>
        <v>1.5539020952543404E-2</v>
      </c>
      <c r="L361">
        <f t="shared" si="21"/>
        <v>0</v>
      </c>
      <c r="M361" s="9">
        <f t="shared" si="22"/>
        <v>2.4928888025889426E-2</v>
      </c>
      <c r="N361">
        <f t="shared" si="23"/>
        <v>0</v>
      </c>
      <c r="O361" s="5">
        <f t="shared" si="24"/>
        <v>2.2486100977340301E-2</v>
      </c>
      <c r="P361">
        <f t="shared" si="25"/>
        <v>0</v>
      </c>
    </row>
    <row r="362" spans="1:16" x14ac:dyDescent="0.25">
      <c r="A362" s="2">
        <f>'Historical Prices'!A360</f>
        <v>45642</v>
      </c>
      <c r="B362" s="3">
        <f>'Historical Prices'!C360/'Historical Prices'!C359-1</f>
        <v>-3.4994928349157961E-3</v>
      </c>
      <c r="C362" s="3">
        <f>'Historical Prices'!B360/'Historical Prices'!B359-1</f>
        <v>2.3951127814749729E-3</v>
      </c>
      <c r="D362" s="3">
        <f>'Historical Prices'!D360/'Historical Prices'!D359-1</f>
        <v>8.9220654401600541E-4</v>
      </c>
      <c r="E362" s="3">
        <f>'Historical Prices'!E360/'Historical Prices'!E359-1</f>
        <v>-9.8263922488155409E-3</v>
      </c>
      <c r="F362" s="3">
        <f>'Historical Prices'!F360/'Historical Prices'!F359-1</f>
        <v>1.1197107508049697E-3</v>
      </c>
      <c r="G362" s="9">
        <f t="shared" si="26"/>
        <v>-1.6860850016667155E-3</v>
      </c>
      <c r="H362" s="6">
        <f t="shared" si="27"/>
        <v>-1686.0850016667155</v>
      </c>
      <c r="I362" s="9">
        <f t="shared" si="18"/>
        <v>1.4431673204261019E-2</v>
      </c>
      <c r="J362">
        <f t="shared" si="19"/>
        <v>0</v>
      </c>
      <c r="K362" s="5">
        <f t="shared" si="20"/>
        <v>1.5502618736415411E-2</v>
      </c>
      <c r="L362">
        <f t="shared" si="21"/>
        <v>0</v>
      </c>
      <c r="M362" s="9">
        <f t="shared" si="22"/>
        <v>2.4928888025889426E-2</v>
      </c>
      <c r="N362">
        <f t="shared" si="23"/>
        <v>0</v>
      </c>
      <c r="O362" s="5">
        <f t="shared" si="24"/>
        <v>2.2450810705174191E-2</v>
      </c>
      <c r="P362">
        <f t="shared" si="25"/>
        <v>0</v>
      </c>
    </row>
    <row r="363" spans="1:16" x14ac:dyDescent="0.25">
      <c r="A363" s="2">
        <f>'Historical Prices'!A361</f>
        <v>45643</v>
      </c>
      <c r="B363" s="3">
        <f>'Historical Prices'!C361/'Historical Prices'!C360-1</f>
        <v>-1.7129462870329459E-2</v>
      </c>
      <c r="C363" s="3">
        <f>'Historical Prices'!B361/'Historical Prices'!B360-1</f>
        <v>-1.2729177084592425E-2</v>
      </c>
      <c r="D363" s="3">
        <f>'Historical Prices'!D361/'Historical Prices'!D360-1</f>
        <v>-9.174633199441562E-3</v>
      </c>
      <c r="E363" s="3">
        <f>'Historical Prices'!E361/'Historical Prices'!E360-1</f>
        <v>-1.7424700586318176E-3</v>
      </c>
      <c r="F363" s="3">
        <f>'Historical Prices'!F361/'Historical Prices'!F360-1</f>
        <v>-1.4052638970108888E-2</v>
      </c>
      <c r="G363" s="9">
        <f t="shared" si="26"/>
        <v>-1.1076405433539408E-2</v>
      </c>
      <c r="H363" s="6">
        <f t="shared" si="27"/>
        <v>-11076.405433539408</v>
      </c>
      <c r="I363" s="9">
        <f t="shared" si="18"/>
        <v>1.4431673204261019E-2</v>
      </c>
      <c r="J363">
        <f t="shared" si="19"/>
        <v>0</v>
      </c>
      <c r="K363" s="5">
        <f t="shared" si="20"/>
        <v>1.5529251524391829E-2</v>
      </c>
      <c r="L363">
        <f t="shared" si="21"/>
        <v>0</v>
      </c>
      <c r="M363" s="9">
        <f t="shared" si="22"/>
        <v>2.4928888025889426E-2</v>
      </c>
      <c r="N363">
        <f t="shared" si="23"/>
        <v>0</v>
      </c>
      <c r="O363" s="5">
        <f t="shared" si="24"/>
        <v>2.2471981118721004E-2</v>
      </c>
      <c r="P363">
        <f t="shared" si="25"/>
        <v>0</v>
      </c>
    </row>
    <row r="364" spans="1:16" x14ac:dyDescent="0.25">
      <c r="A364" s="2">
        <f>'Historical Prices'!A362</f>
        <v>45644</v>
      </c>
      <c r="B364" s="3">
        <f>'Historical Prices'!C362/'Historical Prices'!C361-1</f>
        <v>-1.2300600860076782E-2</v>
      </c>
      <c r="C364" s="3">
        <f>'Historical Prices'!B362/'Historical Prices'!B361-1</f>
        <v>-1.2321257456516466E-2</v>
      </c>
      <c r="D364" s="3">
        <f>'Historical Prices'!D362/'Historical Prices'!D361-1</f>
        <v>-1.4695339635051541E-2</v>
      </c>
      <c r="E364" s="3">
        <f>'Historical Prices'!E362/'Historical Prices'!E361-1</f>
        <v>1.2901324743883613E-3</v>
      </c>
      <c r="F364" s="3">
        <f>'Historical Prices'!F362/'Historical Prices'!F361-1</f>
        <v>3.1892216165203546E-3</v>
      </c>
      <c r="G364" s="9">
        <f t="shared" si="26"/>
        <v>-7.3577543878458364E-3</v>
      </c>
      <c r="H364" s="6">
        <f t="shared" si="27"/>
        <v>-7357.7543878458364</v>
      </c>
      <c r="I364" s="9">
        <f t="shared" si="18"/>
        <v>1.4431673204261019E-2</v>
      </c>
      <c r="J364">
        <f t="shared" si="19"/>
        <v>0</v>
      </c>
      <c r="K364" s="5">
        <f t="shared" si="20"/>
        <v>1.5601392201006942E-2</v>
      </c>
      <c r="L364">
        <f t="shared" si="21"/>
        <v>0</v>
      </c>
      <c r="M364" s="9">
        <f t="shared" si="22"/>
        <v>2.4928888025889426E-2</v>
      </c>
      <c r="N364">
        <f t="shared" si="23"/>
        <v>0</v>
      </c>
      <c r="O364" s="5">
        <f t="shared" si="24"/>
        <v>2.2561425398907164E-2</v>
      </c>
      <c r="P364">
        <f t="shared" si="25"/>
        <v>0</v>
      </c>
    </row>
    <row r="365" spans="1:16" x14ac:dyDescent="0.25">
      <c r="A365" s="2">
        <f>'Historical Prices'!A363</f>
        <v>45645</v>
      </c>
      <c r="B365" s="3">
        <f>'Historical Prices'!C363/'Historical Prices'!C362-1</f>
        <v>-9.4991395611289109E-3</v>
      </c>
      <c r="C365" s="3">
        <f>'Historical Prices'!B363/'Historical Prices'!B362-1</f>
        <v>-1.1895678867550497E-2</v>
      </c>
      <c r="D365" s="3">
        <f>'Historical Prices'!D363/'Historical Prices'!D362-1</f>
        <v>-2.0735856670545116E-2</v>
      </c>
      <c r="E365" s="3">
        <f>'Historical Prices'!E363/'Historical Prices'!E362-1</f>
        <v>-1.6648643654822881E-2</v>
      </c>
      <c r="F365" s="3">
        <f>'Historical Prices'!F363/'Historical Prices'!F362-1</f>
        <v>-1.197887859921809E-2</v>
      </c>
      <c r="G365" s="9">
        <f t="shared" si="26"/>
        <v>-1.429892741275356E-2</v>
      </c>
      <c r="H365" s="6">
        <f t="shared" si="27"/>
        <v>-14298.927412753559</v>
      </c>
      <c r="I365" s="9">
        <f t="shared" si="18"/>
        <v>1.4431673204261019E-2</v>
      </c>
      <c r="J365">
        <f t="shared" si="19"/>
        <v>0</v>
      </c>
      <c r="K365" s="5">
        <f t="shared" si="20"/>
        <v>1.5633218518726646E-2</v>
      </c>
      <c r="L365">
        <f t="shared" si="21"/>
        <v>0</v>
      </c>
      <c r="M365" s="9">
        <f t="shared" si="22"/>
        <v>2.4928888025889426E-2</v>
      </c>
      <c r="N365">
        <f t="shared" si="23"/>
        <v>0</v>
      </c>
      <c r="O365" s="5">
        <f t="shared" si="24"/>
        <v>2.260007085457667E-2</v>
      </c>
      <c r="P365">
        <f t="shared" si="25"/>
        <v>0</v>
      </c>
    </row>
    <row r="366" spans="1:16" x14ac:dyDescent="0.25">
      <c r="A366" s="2">
        <f>'Historical Prices'!A364</f>
        <v>45646</v>
      </c>
      <c r="B366" s="3">
        <f>'Historical Prices'!C364/'Historical Prices'!C363-1</f>
        <v>-1.2266434193034192E-2</v>
      </c>
      <c r="C366" s="3">
        <f>'Historical Prices'!B364/'Historical Prices'!B363-1</f>
        <v>-3.3411626269466921E-2</v>
      </c>
      <c r="D366" s="3">
        <f>'Historical Prices'!D364/'Historical Prices'!D363-1</f>
        <v>1.1655946383417604E-3</v>
      </c>
      <c r="E366" s="3">
        <f>'Historical Prices'!E364/'Historical Prices'!E363-1</f>
        <v>-1.2357250888236027E-2</v>
      </c>
      <c r="F366" s="3">
        <f>'Historical Prices'!F364/'Historical Prices'!F363-1</f>
        <v>-3.5924565408021136E-2</v>
      </c>
      <c r="G366" s="9">
        <f t="shared" si="26"/>
        <v>-1.7680489643194401E-2</v>
      </c>
      <c r="H366" s="6">
        <f t="shared" si="27"/>
        <v>-17680.4896431944</v>
      </c>
      <c r="I366" s="9">
        <f t="shared" si="18"/>
        <v>1.4431673204261019E-2</v>
      </c>
      <c r="J366">
        <f t="shared" si="19"/>
        <v>1</v>
      </c>
      <c r="K366" s="5">
        <f t="shared" si="20"/>
        <v>1.5748135238963887E-2</v>
      </c>
      <c r="L366">
        <f t="shared" si="21"/>
        <v>1</v>
      </c>
      <c r="M366" s="9">
        <f t="shared" si="22"/>
        <v>2.4928888025889426E-2</v>
      </c>
      <c r="N366">
        <f t="shared" si="23"/>
        <v>0</v>
      </c>
      <c r="O366" s="5">
        <f t="shared" si="24"/>
        <v>2.2744302514685136E-2</v>
      </c>
      <c r="P366">
        <f t="shared" si="25"/>
        <v>0</v>
      </c>
    </row>
    <row r="367" spans="1:16" x14ac:dyDescent="0.25">
      <c r="A367" s="2">
        <f>'Historical Prices'!A365</f>
        <v>45649</v>
      </c>
      <c r="B367" s="3">
        <f>'Historical Prices'!C365/'Historical Prices'!C364-1</f>
        <v>1.6652590841607529E-2</v>
      </c>
      <c r="C367" s="3">
        <f>'Historical Prices'!B365/'Historical Prices'!B364-1</f>
        <v>6.8107131645418484E-3</v>
      </c>
      <c r="D367" s="3">
        <f>'Historical Prices'!D365/'Historical Prices'!D364-1</f>
        <v>6.5197113553416841E-3</v>
      </c>
      <c r="E367" s="3">
        <f>'Historical Prices'!E365/'Historical Prices'!E364-1</f>
        <v>1.118458316468951E-3</v>
      </c>
      <c r="F367" s="3">
        <f>'Historical Prices'!F365/'Historical Prices'!F364-1</f>
        <v>1.0149910985057797E-3</v>
      </c>
      <c r="G367" s="9">
        <f t="shared" si="26"/>
        <v>6.6492726377703378E-3</v>
      </c>
      <c r="H367" s="6">
        <f t="shared" si="27"/>
        <v>6649.2726377703375</v>
      </c>
      <c r="I367" s="9">
        <f t="shared" si="18"/>
        <v>1.4543686793636943E-2</v>
      </c>
      <c r="J367">
        <f t="shared" si="19"/>
        <v>0</v>
      </c>
      <c r="K367" s="5">
        <f t="shared" si="20"/>
        <v>1.5905516813739765E-2</v>
      </c>
      <c r="L367">
        <f t="shared" si="21"/>
        <v>0</v>
      </c>
      <c r="M367" s="9">
        <f t="shared" si="22"/>
        <v>2.4928888025889426E-2</v>
      </c>
      <c r="N367">
        <f t="shared" si="23"/>
        <v>0</v>
      </c>
      <c r="O367" s="5">
        <f t="shared" si="24"/>
        <v>2.2906344865914845E-2</v>
      </c>
      <c r="P367">
        <f t="shared" si="25"/>
        <v>0</v>
      </c>
    </row>
    <row r="368" spans="1:16" x14ac:dyDescent="0.25">
      <c r="A368" s="2">
        <f>'Historical Prices'!A366</f>
        <v>45650</v>
      </c>
      <c r="B368" s="3">
        <f>'Historical Prices'!C366/'Historical Prices'!C365-1</f>
        <v>-1.610315179043198E-3</v>
      </c>
      <c r="C368" s="3">
        <f>'Historical Prices'!B366/'Historical Prices'!B365-1</f>
        <v>-2.3158741274820205E-4</v>
      </c>
      <c r="D368" s="3">
        <f>'Historical Prices'!D366/'Historical Prices'!D365-1</f>
        <v>3.4704714819167037E-4</v>
      </c>
      <c r="E368" s="3">
        <f>'Historical Prices'!E366/'Historical Prices'!E365-1</f>
        <v>-7.9249557066729537E-3</v>
      </c>
      <c r="F368" s="3">
        <f>'Historical Prices'!F366/'Historical Prices'!F365-1</f>
        <v>6.6682828056263688E-3</v>
      </c>
      <c r="G368" s="9">
        <f t="shared" si="26"/>
        <v>-4.7552212480804815E-4</v>
      </c>
      <c r="H368" s="6">
        <f t="shared" si="27"/>
        <v>-475.52212480804815</v>
      </c>
      <c r="I368" s="9">
        <f t="shared" si="18"/>
        <v>1.4543686793636943E-2</v>
      </c>
      <c r="J368">
        <f t="shared" si="19"/>
        <v>0</v>
      </c>
      <c r="K368" s="5">
        <f t="shared" si="20"/>
        <v>1.5892828212161671E-2</v>
      </c>
      <c r="L368">
        <f t="shared" si="21"/>
        <v>0</v>
      </c>
      <c r="M368" s="9">
        <f t="shared" si="22"/>
        <v>2.4928888025889426E-2</v>
      </c>
      <c r="N368">
        <f t="shared" si="23"/>
        <v>0</v>
      </c>
      <c r="O368" s="5">
        <f t="shared" si="24"/>
        <v>2.287705771146388E-2</v>
      </c>
      <c r="P368">
        <f t="shared" si="25"/>
        <v>0</v>
      </c>
    </row>
    <row r="369" spans="1:16" x14ac:dyDescent="0.25">
      <c r="A369" s="2">
        <f>'Historical Prices'!A367</f>
        <v>45652</v>
      </c>
      <c r="B369" s="3">
        <f>'Historical Prices'!C367/'Historical Prices'!C366-1</f>
        <v>-4.0876070268147657E-3</v>
      </c>
      <c r="C369" s="3">
        <f>'Historical Prices'!B367/'Historical Prices'!B366-1</f>
        <v>-2.0392119353612737E-3</v>
      </c>
      <c r="D369" s="3">
        <f>'Historical Prices'!D367/'Historical Prices'!D366-1</f>
        <v>7.6977958197943508E-5</v>
      </c>
      <c r="E369" s="3">
        <f>'Historical Prices'!E367/'Historical Prices'!E366-1</f>
        <v>-8.642903412892089E-4</v>
      </c>
      <c r="F369" s="3">
        <f>'Historical Prices'!F367/'Historical Prices'!F366-1</f>
        <v>1.6031011811993734E-2</v>
      </c>
      <c r="G369" s="9">
        <f t="shared" si="26"/>
        <v>1.7158558800332822E-3</v>
      </c>
      <c r="H369" s="6">
        <f t="shared" si="27"/>
        <v>1715.8558800332821</v>
      </c>
      <c r="I369" s="9">
        <f t="shared" si="18"/>
        <v>1.4543686793636943E-2</v>
      </c>
      <c r="J369">
        <f t="shared" si="19"/>
        <v>0</v>
      </c>
      <c r="K369" s="5">
        <f t="shared" si="20"/>
        <v>1.5834264472742231E-2</v>
      </c>
      <c r="L369">
        <f t="shared" si="21"/>
        <v>0</v>
      </c>
      <c r="M369" s="9">
        <f t="shared" si="22"/>
        <v>2.4928888025889426E-2</v>
      </c>
      <c r="N369">
        <f t="shared" si="23"/>
        <v>0</v>
      </c>
      <c r="O369" s="5">
        <f t="shared" si="24"/>
        <v>2.2807225759231522E-2</v>
      </c>
      <c r="P369">
        <f t="shared" si="25"/>
        <v>0</v>
      </c>
    </row>
    <row r="370" spans="1:16" x14ac:dyDescent="0.25">
      <c r="A370" s="2">
        <f>'Historical Prices'!A368</f>
        <v>45653</v>
      </c>
      <c r="B370" s="3">
        <f>'Historical Prices'!C368/'Historical Prices'!C367-1</f>
        <v>4.1881700104582364E-3</v>
      </c>
      <c r="C370" s="3">
        <f>'Historical Prices'!B368/'Historical Prices'!B367-1</f>
        <v>6.9657028279368483E-4</v>
      </c>
      <c r="D370" s="3">
        <f>'Historical Prices'!D368/'Historical Prices'!D367-1</f>
        <v>7.8623346105275438E-3</v>
      </c>
      <c r="E370" s="3">
        <f>'Historical Prices'!E368/'Historical Prices'!E367-1</f>
        <v>4.9019716740108521E-3</v>
      </c>
      <c r="F370" s="3">
        <f>'Historical Prices'!F368/'Historical Prices'!F367-1</f>
        <v>2.4801290647602059E-2</v>
      </c>
      <c r="G370" s="9">
        <f t="shared" si="26"/>
        <v>8.4924083812706538E-3</v>
      </c>
      <c r="H370" s="6">
        <f t="shared" si="27"/>
        <v>8492.408381270654</v>
      </c>
      <c r="I370" s="9">
        <f t="shared" si="18"/>
        <v>1.4543686793636943E-2</v>
      </c>
      <c r="J370">
        <f t="shared" si="19"/>
        <v>0</v>
      </c>
      <c r="K370" s="5">
        <f t="shared" si="20"/>
        <v>1.58153026396455E-2</v>
      </c>
      <c r="L370">
        <f t="shared" si="21"/>
        <v>0</v>
      </c>
      <c r="M370" s="9">
        <f t="shared" si="22"/>
        <v>2.4928888025889426E-2</v>
      </c>
      <c r="N370">
        <f t="shared" si="23"/>
        <v>0</v>
      </c>
      <c r="O370" s="5">
        <f t="shared" si="24"/>
        <v>2.2786937976892175E-2</v>
      </c>
      <c r="P370">
        <f t="shared" si="25"/>
        <v>0</v>
      </c>
    </row>
    <row r="371" spans="1:16" x14ac:dyDescent="0.25">
      <c r="A371" s="2">
        <f>'Historical Prices'!A369</f>
        <v>45656</v>
      </c>
      <c r="B371" s="3">
        <f>'Historical Prices'!C369/'Historical Prices'!C368-1</f>
        <v>-1.1316511439707799E-2</v>
      </c>
      <c r="C371" s="3">
        <f>'Historical Prices'!B369/'Historical Prices'!B368-1</f>
        <v>-6.9609675836855844E-3</v>
      </c>
      <c r="D371" s="3">
        <f>'Historical Prices'!D369/'Historical Prices'!D368-1</f>
        <v>-9.8658791824465242E-3</v>
      </c>
      <c r="E371" s="3">
        <f>'Historical Prices'!E369/'Historical Prices'!E368-1</f>
        <v>-5.608448800772714E-3</v>
      </c>
      <c r="F371" s="3">
        <f>'Historical Prices'!F369/'Historical Prices'!F368-1</f>
        <v>-1.5265092591271179E-2</v>
      </c>
      <c r="G371" s="9">
        <f t="shared" si="26"/>
        <v>-9.8938501261244486E-3</v>
      </c>
      <c r="H371" s="6">
        <f t="shared" si="27"/>
        <v>-9893.8501261244492</v>
      </c>
      <c r="I371" s="9">
        <f t="shared" si="18"/>
        <v>1.4543686793636943E-2</v>
      </c>
      <c r="J371">
        <f t="shared" si="19"/>
        <v>0</v>
      </c>
      <c r="K371" s="5">
        <f t="shared" si="20"/>
        <v>1.5700628467981211E-2</v>
      </c>
      <c r="L371">
        <f t="shared" si="21"/>
        <v>0</v>
      </c>
      <c r="M371" s="9">
        <f t="shared" si="22"/>
        <v>2.4928888025889426E-2</v>
      </c>
      <c r="N371">
        <f t="shared" si="23"/>
        <v>0</v>
      </c>
      <c r="O371" s="5">
        <f t="shared" si="24"/>
        <v>2.265811407757886E-2</v>
      </c>
      <c r="P371">
        <f t="shared" si="25"/>
        <v>0</v>
      </c>
    </row>
    <row r="372" spans="1:16" x14ac:dyDescent="0.25">
      <c r="A372" s="2">
        <f>'Historical Prices'!A370</f>
        <v>45657</v>
      </c>
      <c r="B372" s="3">
        <f>'Historical Prices'!C370/'Historical Prices'!C369-1</f>
        <v>-2.840447680699576E-3</v>
      </c>
      <c r="C372" s="3">
        <f>'Historical Prices'!B370/'Historical Prices'!B369-1</f>
        <v>-4.9066393502941175E-3</v>
      </c>
      <c r="D372" s="3">
        <f>'Historical Prices'!D370/'Historical Prices'!D369-1</f>
        <v>-1.004131717874257E-2</v>
      </c>
      <c r="E372" s="3">
        <f>'Historical Prices'!E370/'Historical Prices'!E369-1</f>
        <v>-1.3641193279194663E-2</v>
      </c>
      <c r="F372" s="3">
        <f>'Historical Prices'!F370/'Historical Prices'!F369-1</f>
        <v>1.3987530145860294E-3</v>
      </c>
      <c r="G372" s="9">
        <f t="shared" si="26"/>
        <v>-6.0348851744076179E-3</v>
      </c>
      <c r="H372" s="6">
        <f t="shared" si="27"/>
        <v>-6034.8851744076183</v>
      </c>
      <c r="I372" s="9">
        <f t="shared" si="18"/>
        <v>1.4543686793636943E-2</v>
      </c>
      <c r="J372">
        <f t="shared" si="19"/>
        <v>0</v>
      </c>
      <c r="K372" s="5">
        <f t="shared" si="20"/>
        <v>1.5774829425272092E-2</v>
      </c>
      <c r="L372">
        <f t="shared" si="21"/>
        <v>0</v>
      </c>
      <c r="M372" s="9">
        <f t="shared" si="22"/>
        <v>2.4928888025889426E-2</v>
      </c>
      <c r="N372">
        <f t="shared" si="23"/>
        <v>0</v>
      </c>
      <c r="O372" s="5">
        <f t="shared" si="24"/>
        <v>2.2747958952985439E-2</v>
      </c>
      <c r="P372">
        <f t="shared" si="25"/>
        <v>0</v>
      </c>
    </row>
    <row r="373" spans="1:16" x14ac:dyDescent="0.25">
      <c r="A373" s="2">
        <f>'Historical Prices'!A371</f>
        <v>45658</v>
      </c>
      <c r="B373" s="3">
        <f>'Historical Prices'!C371/'Historical Prices'!C370-1</f>
        <v>5.5842115157469507E-3</v>
      </c>
      <c r="C373" s="3">
        <f>'Historical Prices'!B371/'Historical Prices'!B370-1</f>
        <v>6.6685737561893443E-3</v>
      </c>
      <c r="D373" s="3">
        <f>'Historical Prices'!D371/'Historical Prices'!D370-1</f>
        <v>1.5605246026286768E-3</v>
      </c>
      <c r="E373" s="3">
        <f>'Historical Prices'!E371/'Historical Prices'!E370-1</f>
        <v>1.3297865982777601E-3</v>
      </c>
      <c r="F373" s="3">
        <f>'Historical Prices'!F371/'Historical Prices'!F370-1</f>
        <v>2.4907684306170852E-2</v>
      </c>
      <c r="G373" s="9">
        <f t="shared" si="26"/>
        <v>7.8116608616301793E-3</v>
      </c>
      <c r="H373" s="6">
        <f t="shared" si="27"/>
        <v>7811.6608616301792</v>
      </c>
      <c r="I373" s="9">
        <f t="shared" si="18"/>
        <v>1.4543686793636943E-2</v>
      </c>
      <c r="J373">
        <f t="shared" si="19"/>
        <v>0</v>
      </c>
      <c r="K373" s="5">
        <f t="shared" si="20"/>
        <v>1.5802998632831904E-2</v>
      </c>
      <c r="L373">
        <f t="shared" si="21"/>
        <v>0</v>
      </c>
      <c r="M373" s="9">
        <f t="shared" si="22"/>
        <v>2.4928888025889426E-2</v>
      </c>
      <c r="N373">
        <f t="shared" si="23"/>
        <v>0</v>
      </c>
      <c r="O373" s="5">
        <f t="shared" si="24"/>
        <v>2.2781431119549281E-2</v>
      </c>
      <c r="P373">
        <f t="shared" si="25"/>
        <v>0</v>
      </c>
    </row>
    <row r="374" spans="1:16" x14ac:dyDescent="0.25">
      <c r="A374" s="2">
        <f>'Historical Prices'!A372</f>
        <v>45659</v>
      </c>
      <c r="B374" s="3">
        <f>'Historical Prices'!C372/'Historical Prices'!C371-1</f>
        <v>6.1702001126344719E-3</v>
      </c>
      <c r="C374" s="3">
        <f>'Historical Prices'!B372/'Historical Prices'!B371-1</f>
        <v>1.3808463861441744E-2</v>
      </c>
      <c r="D374" s="3">
        <f>'Historical Prices'!D372/'Historical Prices'!D371-1</f>
        <v>5.4142360216882235E-3</v>
      </c>
      <c r="E374" s="3">
        <f>'Historical Prices'!E372/'Historical Prices'!E371-1</f>
        <v>4.0026554955601146E-2</v>
      </c>
      <c r="F374" s="3">
        <f>'Historical Prices'!F372/'Historical Prices'!F371-1</f>
        <v>4.1888426257389977E-2</v>
      </c>
      <c r="G374" s="9">
        <f t="shared" si="26"/>
        <v>2.0534523790242121E-2</v>
      </c>
      <c r="H374" s="6">
        <f t="shared" si="27"/>
        <v>20534.523790242121</v>
      </c>
      <c r="I374" s="9">
        <f t="shared" si="18"/>
        <v>1.4543686793636943E-2</v>
      </c>
      <c r="J374">
        <f t="shared" si="19"/>
        <v>0</v>
      </c>
      <c r="K374" s="5">
        <f t="shared" si="20"/>
        <v>1.5799091146729699E-2</v>
      </c>
      <c r="L374">
        <f t="shared" si="21"/>
        <v>0</v>
      </c>
      <c r="M374" s="9">
        <f t="shared" si="22"/>
        <v>2.4928888025889426E-2</v>
      </c>
      <c r="N374">
        <f t="shared" si="23"/>
        <v>0</v>
      </c>
      <c r="O374" s="5">
        <f t="shared" si="24"/>
        <v>2.278267727583377E-2</v>
      </c>
      <c r="P374">
        <f t="shared" si="25"/>
        <v>0</v>
      </c>
    </row>
    <row r="375" spans="1:16" x14ac:dyDescent="0.25">
      <c r="A375" s="2">
        <f>'Historical Prices'!A373</f>
        <v>45660</v>
      </c>
      <c r="B375" s="3">
        <f>'Historical Prices'!C373/'Historical Prices'!C372-1</f>
        <v>-2.4836196663565291E-2</v>
      </c>
      <c r="C375" s="3">
        <f>'Historical Prices'!B373/'Historical Prices'!B372-1</f>
        <v>-1.5644248682232798E-3</v>
      </c>
      <c r="D375" s="3">
        <f>'Historical Prices'!D373/'Historical Prices'!D372-1</f>
        <v>-1.9797036331748452E-2</v>
      </c>
      <c r="E375" s="3">
        <f>'Historical Prices'!E373/'Historical Prices'!E372-1</f>
        <v>-9.7556077643755623E-3</v>
      </c>
      <c r="F375" s="3">
        <f>'Historical Prices'!F373/'Historical Prices'!F372-1</f>
        <v>-6.399741144856308E-3</v>
      </c>
      <c r="G375" s="9">
        <f t="shared" si="26"/>
        <v>-1.3064093465109134E-2</v>
      </c>
      <c r="H375" s="6">
        <f t="shared" si="27"/>
        <v>-13064.093465109134</v>
      </c>
      <c r="I375" s="9">
        <f t="shared" si="18"/>
        <v>1.4543686793636943E-2</v>
      </c>
      <c r="J375">
        <f t="shared" si="19"/>
        <v>0</v>
      </c>
      <c r="K375" s="5">
        <f t="shared" si="20"/>
        <v>1.5848245287829167E-2</v>
      </c>
      <c r="L375">
        <f t="shared" si="21"/>
        <v>0</v>
      </c>
      <c r="M375" s="9">
        <f t="shared" si="22"/>
        <v>2.4928888025889426E-2</v>
      </c>
      <c r="N375">
        <f t="shared" si="23"/>
        <v>0</v>
      </c>
      <c r="O375" s="5">
        <f t="shared" si="24"/>
        <v>2.2866290512454281E-2</v>
      </c>
      <c r="P375">
        <f t="shared" si="25"/>
        <v>0</v>
      </c>
    </row>
    <row r="376" spans="1:16" x14ac:dyDescent="0.25">
      <c r="A376" s="2">
        <f>'Historical Prices'!A374</f>
        <v>45663</v>
      </c>
      <c r="B376" s="3">
        <f>'Historical Prices'!C374/'Historical Prices'!C373-1</f>
        <v>-2.2124410145508033E-2</v>
      </c>
      <c r="C376" s="3">
        <f>'Historical Prices'!B374/'Historical Prices'!B373-1</f>
        <v>-1.981749493889795E-2</v>
      </c>
      <c r="D376" s="3">
        <f>'Historical Prices'!D374/'Historical Prices'!D373-1</f>
        <v>-7.5093420608274286E-4</v>
      </c>
      <c r="E376" s="3">
        <f>'Historical Prices'!E374/'Historical Prices'!E373-1</f>
        <v>-4.6413694371116865E-4</v>
      </c>
      <c r="F376" s="3">
        <f>'Historical Prices'!F374/'Historical Prices'!F373-1</f>
        <v>-2.6594191590918692E-2</v>
      </c>
      <c r="G376" s="9">
        <f t="shared" si="26"/>
        <v>-1.3697338748994273E-2</v>
      </c>
      <c r="H376" s="6">
        <f t="shared" si="27"/>
        <v>-13697.338748994272</v>
      </c>
      <c r="I376" s="9">
        <f t="shared" si="18"/>
        <v>1.4543686793636943E-2</v>
      </c>
      <c r="J376">
        <f t="shared" si="19"/>
        <v>0</v>
      </c>
      <c r="K376" s="5">
        <f t="shared" si="20"/>
        <v>1.5980560794535317E-2</v>
      </c>
      <c r="L376">
        <f t="shared" si="21"/>
        <v>0</v>
      </c>
      <c r="M376" s="9">
        <f t="shared" si="22"/>
        <v>2.4928888025889426E-2</v>
      </c>
      <c r="N376">
        <f t="shared" si="23"/>
        <v>0</v>
      </c>
      <c r="O376" s="5">
        <f t="shared" si="24"/>
        <v>2.3021642487840603E-2</v>
      </c>
      <c r="P376">
        <f t="shared" si="25"/>
        <v>0</v>
      </c>
    </row>
    <row r="377" spans="1:16" x14ac:dyDescent="0.25">
      <c r="A377" s="2">
        <f>'Historical Prices'!A375</f>
        <v>45664</v>
      </c>
      <c r="B377" s="3">
        <f>'Historical Prices'!C375/'Historical Prices'!C374-1</f>
        <v>1.69544115365583E-3</v>
      </c>
      <c r="C377" s="3">
        <f>'Historical Prices'!B375/'Historical Prices'!B374-1</f>
        <v>3.8554817529772301E-3</v>
      </c>
      <c r="D377" s="3">
        <f>'Historical Prices'!D375/'Historical Prices'!D374-1</f>
        <v>1.1984821653049815E-2</v>
      </c>
      <c r="E377" s="3">
        <f>'Historical Prices'!E375/'Historical Prices'!E374-1</f>
        <v>-3.6123149878767302E-3</v>
      </c>
      <c r="F377" s="3">
        <f>'Historical Prices'!F375/'Historical Prices'!F374-1</f>
        <v>1.0143002157279035E-3</v>
      </c>
      <c r="G377" s="9">
        <f t="shared" si="26"/>
        <v>3.3308513814049082E-3</v>
      </c>
      <c r="H377" s="6">
        <f t="shared" si="27"/>
        <v>3330.8513814049084</v>
      </c>
      <c r="I377" s="9">
        <f t="shared" si="18"/>
        <v>1.4543686793636943E-2</v>
      </c>
      <c r="J377">
        <f t="shared" si="19"/>
        <v>0</v>
      </c>
      <c r="K377" s="5">
        <f t="shared" si="20"/>
        <v>1.6069381045382945E-2</v>
      </c>
      <c r="L377">
        <f t="shared" si="21"/>
        <v>0</v>
      </c>
      <c r="M377" s="9">
        <f t="shared" si="22"/>
        <v>2.4928888025889426E-2</v>
      </c>
      <c r="N377">
        <f t="shared" si="23"/>
        <v>0</v>
      </c>
      <c r="O377" s="5">
        <f t="shared" si="24"/>
        <v>2.3133557578308955E-2</v>
      </c>
      <c r="P377">
        <f t="shared" si="25"/>
        <v>0</v>
      </c>
    </row>
    <row r="378" spans="1:16" x14ac:dyDescent="0.25">
      <c r="A378" s="2">
        <f>'Historical Prices'!A376</f>
        <v>45665</v>
      </c>
      <c r="B378" s="3">
        <f>'Historical Prices'!C376/'Historical Prices'!C375-1</f>
        <v>-1.1147453960389075E-2</v>
      </c>
      <c r="C378" s="3">
        <f>'Historical Prices'!B376/'Historical Prices'!B375-1</f>
        <v>6.9788892351736465E-3</v>
      </c>
      <c r="D378" s="3">
        <f>'Historical Prices'!D376/'Historical Prices'!D375-1</f>
        <v>-1.211653697696069E-2</v>
      </c>
      <c r="E378" s="3">
        <f>'Historical Prices'!E376/'Historical Prices'!E375-1</f>
        <v>1.191224559295545E-3</v>
      </c>
      <c r="F378" s="3">
        <f>'Historical Prices'!F376/'Historical Prices'!F375-1</f>
        <v>-7.3177677448668099E-3</v>
      </c>
      <c r="G378" s="9">
        <f t="shared" si="26"/>
        <v>-5.0174329574871283E-3</v>
      </c>
      <c r="H378" s="6">
        <f t="shared" si="27"/>
        <v>-5017.4329574871281</v>
      </c>
      <c r="I378" s="9">
        <f t="shared" si="18"/>
        <v>1.4543686793636943E-2</v>
      </c>
      <c r="J378">
        <f t="shared" si="19"/>
        <v>0</v>
      </c>
      <c r="K378" s="5">
        <f t="shared" si="20"/>
        <v>1.6038010808965171E-2</v>
      </c>
      <c r="L378">
        <f t="shared" si="21"/>
        <v>0</v>
      </c>
      <c r="M378" s="9">
        <f t="shared" si="22"/>
        <v>2.4928888025889426E-2</v>
      </c>
      <c r="N378">
        <f t="shared" si="23"/>
        <v>0</v>
      </c>
      <c r="O378" s="5">
        <f t="shared" si="24"/>
        <v>2.3100353098824435E-2</v>
      </c>
      <c r="P378">
        <f t="shared" si="25"/>
        <v>0</v>
      </c>
    </row>
    <row r="379" spans="1:16" x14ac:dyDescent="0.25">
      <c r="A379" s="2">
        <f>'Historical Prices'!A377</f>
        <v>45666</v>
      </c>
      <c r="B379" s="3">
        <f>'Historical Prices'!C377/'Historical Prices'!C376-1</f>
        <v>-1.5640620615835488E-2</v>
      </c>
      <c r="C379" s="3">
        <f>'Historical Prices'!B377/'Historical Prices'!B376-1</f>
        <v>-1.2279550348112789E-2</v>
      </c>
      <c r="D379" s="3">
        <f>'Historical Prices'!D377/'Historical Prices'!D376-1</f>
        <v>-1.0681734567632439E-3</v>
      </c>
      <c r="E379" s="3">
        <f>'Historical Prices'!E377/'Historical Prices'!E376-1</f>
        <v>-8.1989959735326856E-3</v>
      </c>
      <c r="F379" s="3">
        <f>'Historical Prices'!F377/'Historical Prices'!F376-1</f>
        <v>1.3090913486333067E-2</v>
      </c>
      <c r="G379" s="9">
        <f t="shared" si="26"/>
        <v>-4.7824279009747676E-3</v>
      </c>
      <c r="H379" s="6">
        <f t="shared" si="27"/>
        <v>-4782.4279009747679</v>
      </c>
      <c r="I379" s="9">
        <f t="shared" si="18"/>
        <v>1.4543686793636943E-2</v>
      </c>
      <c r="J379">
        <f t="shared" si="19"/>
        <v>0</v>
      </c>
      <c r="K379" s="5">
        <f t="shared" si="20"/>
        <v>1.5969014035002779E-2</v>
      </c>
      <c r="L379">
        <f t="shared" si="21"/>
        <v>0</v>
      </c>
      <c r="M379" s="9">
        <f t="shared" si="22"/>
        <v>2.4928888025889426E-2</v>
      </c>
      <c r="N379">
        <f t="shared" si="23"/>
        <v>0</v>
      </c>
      <c r="O379" s="5">
        <f t="shared" si="24"/>
        <v>2.3014152169745901E-2</v>
      </c>
      <c r="P379">
        <f t="shared" si="25"/>
        <v>0</v>
      </c>
    </row>
    <row r="380" spans="1:16" x14ac:dyDescent="0.25">
      <c r="A380" s="2">
        <f>'Historical Prices'!A378</f>
        <v>45667</v>
      </c>
      <c r="B380" s="3">
        <f>'Historical Prices'!C378/'Historical Prices'!C377-1</f>
        <v>-6.6255573738264184E-3</v>
      </c>
      <c r="C380" s="3">
        <f>'Historical Prices'!B378/'Historical Prices'!B377-1</f>
        <v>-1.9825807613592872E-2</v>
      </c>
      <c r="D380" s="3">
        <f>'Historical Prices'!D378/'Historical Prices'!D377-1</f>
        <v>-9.9414323169954022E-3</v>
      </c>
      <c r="E380" s="3">
        <f>'Historical Prices'!E378/'Historical Prices'!E377-1</f>
        <v>2.5895695676804831E-2</v>
      </c>
      <c r="F380" s="3">
        <f>'Historical Prices'!F378/'Historical Prices'!F377-1</f>
        <v>-1.0762840404824892E-2</v>
      </c>
      <c r="G380" s="9">
        <f t="shared" si="26"/>
        <v>-4.6211004981790427E-3</v>
      </c>
      <c r="H380" s="6">
        <f t="shared" si="27"/>
        <v>-4621.1004981790429</v>
      </c>
      <c r="I380" s="9">
        <f t="shared" si="18"/>
        <v>1.4543686793636943E-2</v>
      </c>
      <c r="J380">
        <f t="shared" si="19"/>
        <v>0</v>
      </c>
      <c r="K380" s="5">
        <f t="shared" si="20"/>
        <v>1.594691234288519E-2</v>
      </c>
      <c r="L380">
        <f t="shared" si="21"/>
        <v>0</v>
      </c>
      <c r="M380" s="9">
        <f t="shared" si="22"/>
        <v>2.4928888025889426E-2</v>
      </c>
      <c r="N380">
        <f t="shared" si="23"/>
        <v>0</v>
      </c>
      <c r="O380" s="5">
        <f t="shared" si="24"/>
        <v>2.2987178198218477E-2</v>
      </c>
      <c r="P380">
        <f t="shared" si="25"/>
        <v>0</v>
      </c>
    </row>
    <row r="381" spans="1:16" x14ac:dyDescent="0.25">
      <c r="A381" s="2">
        <f>'Historical Prices'!A379</f>
        <v>45670</v>
      </c>
      <c r="B381" s="3">
        <f>'Historical Prices'!C379/'Historical Prices'!C378-1</f>
        <v>-1.5632938696571452E-2</v>
      </c>
      <c r="C381" s="3">
        <f>'Historical Prices'!B379/'Historical Prices'!B378-1</f>
        <v>8.2638103193652945E-3</v>
      </c>
      <c r="D381" s="3">
        <f>'Historical Prices'!D379/'Historical Prices'!D378-1</f>
        <v>-1.6081891079211319E-2</v>
      </c>
      <c r="E381" s="3">
        <f>'Historical Prices'!E379/'Historical Prices'!E378-1</f>
        <v>-2.4149051604801519E-3</v>
      </c>
      <c r="F381" s="3">
        <f>'Historical Prices'!F379/'Historical Prices'!F378-1</f>
        <v>-3.0134097820795791E-2</v>
      </c>
      <c r="G381" s="9">
        <f t="shared" si="26"/>
        <v>-1.1696867021913408E-2</v>
      </c>
      <c r="H381" s="6">
        <f t="shared" si="27"/>
        <v>-11696.867021913407</v>
      </c>
      <c r="I381" s="9">
        <f t="shared" si="18"/>
        <v>1.4543686793636943E-2</v>
      </c>
      <c r="J381">
        <f t="shared" si="19"/>
        <v>0</v>
      </c>
      <c r="K381" s="5">
        <f t="shared" si="20"/>
        <v>1.5991778387128449E-2</v>
      </c>
      <c r="L381">
        <f t="shared" si="21"/>
        <v>0</v>
      </c>
      <c r="M381" s="9">
        <f t="shared" si="22"/>
        <v>2.4928888025889426E-2</v>
      </c>
      <c r="N381">
        <f t="shared" si="23"/>
        <v>0</v>
      </c>
      <c r="O381" s="5">
        <f t="shared" si="24"/>
        <v>2.3029115726454871E-2</v>
      </c>
      <c r="P381">
        <f t="shared" si="25"/>
        <v>0</v>
      </c>
    </row>
    <row r="382" spans="1:16" x14ac:dyDescent="0.25">
      <c r="A382" s="2">
        <f>'Historical Prices'!A380</f>
        <v>45671</v>
      </c>
      <c r="B382" s="3">
        <f>'Historical Prices'!C380/'Historical Prices'!C379-1</f>
        <v>9.657464656221082E-3</v>
      </c>
      <c r="C382" s="3">
        <f>'Historical Prices'!B380/'Historical Prices'!B379-1</f>
        <v>2.2394786800328248E-3</v>
      </c>
      <c r="D382" s="3">
        <f>'Historical Prices'!D380/'Historical Prices'!D379-1</f>
        <v>8.5789940888094662E-3</v>
      </c>
      <c r="E382" s="3">
        <f>'Historical Prices'!E380/'Historical Prices'!E379-1</f>
        <v>-1.1288265819443866E-2</v>
      </c>
      <c r="F382" s="3">
        <f>'Historical Prices'!F380/'Historical Prices'!F379-1</f>
        <v>1.6618758524725497E-2</v>
      </c>
      <c r="G382" s="9">
        <f t="shared" si="26"/>
        <v>5.530010137497203E-3</v>
      </c>
      <c r="H382" s="6">
        <f t="shared" si="27"/>
        <v>5530.0101374972028</v>
      </c>
      <c r="I382" s="9">
        <f t="shared" si="18"/>
        <v>1.4543686793636943E-2</v>
      </c>
      <c r="J382">
        <f t="shared" si="19"/>
        <v>0</v>
      </c>
      <c r="K382" s="5">
        <f t="shared" si="20"/>
        <v>1.6104675151657911E-2</v>
      </c>
      <c r="L382">
        <f t="shared" si="21"/>
        <v>0</v>
      </c>
      <c r="M382" s="9">
        <f t="shared" si="22"/>
        <v>2.4928888025889426E-2</v>
      </c>
      <c r="N382">
        <f t="shared" si="23"/>
        <v>0</v>
      </c>
      <c r="O382" s="5">
        <f t="shared" si="24"/>
        <v>2.3160933079068829E-2</v>
      </c>
      <c r="P382">
        <f t="shared" si="25"/>
        <v>0</v>
      </c>
    </row>
    <row r="383" spans="1:16" x14ac:dyDescent="0.25">
      <c r="A383" s="2">
        <f>'Historical Prices'!A381</f>
        <v>45672</v>
      </c>
      <c r="B383" s="3">
        <f>'Historical Prices'!C381/'Historical Prices'!C380-1</f>
        <v>-2.1559661687380327E-3</v>
      </c>
      <c r="C383" s="3">
        <f>'Historical Prices'!B381/'Historical Prices'!B380-1</f>
        <v>-2.3629461581023081E-2</v>
      </c>
      <c r="D383" s="3">
        <f>'Historical Prices'!D381/'Historical Prices'!D380-1</f>
        <v>-1.6529567041765336E-3</v>
      </c>
      <c r="E383" s="3">
        <f>'Historical Prices'!E381/'Historical Prices'!E380-1</f>
        <v>4.9482703093588487E-3</v>
      </c>
      <c r="F383" s="3">
        <f>'Historical Prices'!F381/'Historical Prices'!F380-1</f>
        <v>-2.9267126320099646E-2</v>
      </c>
      <c r="G383" s="9">
        <f t="shared" si="26"/>
        <v>-9.9201917377670507E-3</v>
      </c>
      <c r="H383" s="6">
        <f t="shared" si="27"/>
        <v>-9920.1917377670507</v>
      </c>
      <c r="I383" s="9">
        <f t="shared" si="18"/>
        <v>1.4543686793636943E-2</v>
      </c>
      <c r="J383">
        <f t="shared" si="19"/>
        <v>0</v>
      </c>
      <c r="K383" s="5">
        <f t="shared" si="20"/>
        <v>1.5991657123542391E-2</v>
      </c>
      <c r="L383">
        <f t="shared" si="21"/>
        <v>0</v>
      </c>
      <c r="M383" s="9">
        <f t="shared" si="22"/>
        <v>2.4928888025889426E-2</v>
      </c>
      <c r="N383">
        <f t="shared" si="23"/>
        <v>0</v>
      </c>
      <c r="O383" s="5">
        <f t="shared" si="24"/>
        <v>2.3029585059782871E-2</v>
      </c>
      <c r="P383">
        <f t="shared" si="25"/>
        <v>0</v>
      </c>
    </row>
    <row r="384" spans="1:16" x14ac:dyDescent="0.25">
      <c r="A384" s="2">
        <f>'Historical Prices'!A382</f>
        <v>45673</v>
      </c>
      <c r="B384" s="3">
        <f>'Historical Prices'!C382/'Historical Prices'!C381-1</f>
        <v>5.4776846085420328E-3</v>
      </c>
      <c r="C384" s="3">
        <f>'Historical Prices'!B382/'Historical Prices'!B381-1</f>
        <v>1.0907624739413091E-2</v>
      </c>
      <c r="D384" s="3">
        <f>'Historical Prices'!D382/'Historical Prices'!D381-1</f>
        <v>8.7624424960328628E-3</v>
      </c>
      <c r="E384" s="3">
        <f>'Historical Prices'!E382/'Historical Prices'!E381-1</f>
        <v>-1.0873767327749251E-2</v>
      </c>
      <c r="F384" s="3">
        <f>'Historical Prices'!F382/'Historical Prices'!F381-1</f>
        <v>6.8744250135317486E-3</v>
      </c>
      <c r="G384" s="9">
        <f t="shared" si="26"/>
        <v>4.4845288723201959E-3</v>
      </c>
      <c r="H384" s="6">
        <f t="shared" si="27"/>
        <v>4484.5288723201957</v>
      </c>
      <c r="I384" s="9">
        <f t="shared" ref="I384:I447" si="28">-_xlfn.PERCENTILE.INC(G134:G383, 0.05)</f>
        <v>1.4543686793636943E-2</v>
      </c>
      <c r="J384">
        <f t="shared" ref="J384:J447" si="29">--($G384&lt;-I384)</f>
        <v>0</v>
      </c>
      <c r="K384" s="5">
        <f t="shared" ref="K384:K447" si="30">_xlfn.NORM.S.INV(0.95)*_xlfn.STDEV.S($G134:$G383)-AVERAGE($G134:$G383)</f>
        <v>1.606593714900233E-2</v>
      </c>
      <c r="L384">
        <f t="shared" ref="L384:L447" si="31">--($G384&lt;-K384)</f>
        <v>0</v>
      </c>
      <c r="M384" s="9">
        <f t="shared" ref="M384:M447" si="32">-_xlfn.PERCENTILE.INC(G134:G373, 0.01)</f>
        <v>2.4928888025889426E-2</v>
      </c>
      <c r="N384">
        <f t="shared" ref="N384:N447" si="33">--($G384&lt;-M384)</f>
        <v>0</v>
      </c>
      <c r="O384" s="5">
        <f t="shared" ref="O384:O447" si="34">_xlfn.NORM.S.INV(0.99)*_xlfn.STDEV.S($G134:$G383)-AVERAGE($G134:$G383)</f>
        <v>2.311924111484194E-2</v>
      </c>
      <c r="P384">
        <f t="shared" ref="P384:P447" si="35">--($G384&lt;-O384)</f>
        <v>0</v>
      </c>
    </row>
    <row r="385" spans="1:16" x14ac:dyDescent="0.25">
      <c r="A385" s="2">
        <f>'Historical Prices'!A383</f>
        <v>45674</v>
      </c>
      <c r="B385" s="3">
        <f>'Historical Prices'!C383/'Historical Prices'!C382-1</f>
        <v>-9.2612265937140892E-3</v>
      </c>
      <c r="C385" s="3">
        <f>'Historical Prices'!B383/'Historical Prices'!B382-1</f>
        <v>-4.5231231848139708E-2</v>
      </c>
      <c r="D385" s="3">
        <f>'Historical Prices'!D383/'Historical Prices'!D382-1</f>
        <v>-1.8933726445683585E-2</v>
      </c>
      <c r="E385" s="3">
        <f>'Historical Prices'!E383/'Historical Prices'!E382-1</f>
        <v>-5.8596319700087163E-2</v>
      </c>
      <c r="F385" s="3">
        <f>'Historical Prices'!F383/'Historical Prices'!F382-1</f>
        <v>-2.1220536268756307E-2</v>
      </c>
      <c r="G385" s="9">
        <f t="shared" si="26"/>
        <v>-2.9489269353178197E-2</v>
      </c>
      <c r="H385" s="6">
        <f t="shared" si="27"/>
        <v>-29489.269353178199</v>
      </c>
      <c r="I385" s="9">
        <f t="shared" si="28"/>
        <v>1.4543686793636943E-2</v>
      </c>
      <c r="J385">
        <f t="shared" si="29"/>
        <v>1</v>
      </c>
      <c r="K385" s="5">
        <f t="shared" si="30"/>
        <v>1.6057592228249214E-2</v>
      </c>
      <c r="L385">
        <f t="shared" si="31"/>
        <v>1</v>
      </c>
      <c r="M385" s="9">
        <f t="shared" si="32"/>
        <v>2.4928888025889426E-2</v>
      </c>
      <c r="N385">
        <f t="shared" si="33"/>
        <v>1</v>
      </c>
      <c r="O385" s="5">
        <f t="shared" si="34"/>
        <v>2.3112506458703927E-2</v>
      </c>
      <c r="P385">
        <f t="shared" si="35"/>
        <v>1</v>
      </c>
    </row>
    <row r="386" spans="1:16" x14ac:dyDescent="0.25">
      <c r="A386" s="2">
        <f>'Historical Prices'!A384</f>
        <v>45677</v>
      </c>
      <c r="B386" s="3">
        <f>'Historical Prices'!C384/'Historical Prices'!C383-1</f>
        <v>8.8589475470115531E-3</v>
      </c>
      <c r="C386" s="3">
        <f>'Historical Prices'!B384/'Historical Prices'!B383-1</f>
        <v>-3.0270811244417217E-3</v>
      </c>
      <c r="D386" s="3">
        <f>'Historical Prices'!D384/'Historical Prices'!D383-1</f>
        <v>6.1203180366713461E-3</v>
      </c>
      <c r="E386" s="3">
        <f>'Historical Prices'!E384/'Historical Prices'!E383-1</f>
        <v>-1.184193970449221E-3</v>
      </c>
      <c r="F386" s="3">
        <f>'Historical Prices'!F384/'Historical Prices'!F383-1</f>
        <v>-1.0026225307485648E-2</v>
      </c>
      <c r="G386" s="9">
        <f t="shared" si="26"/>
        <v>5.5025680986261582E-4</v>
      </c>
      <c r="H386" s="6">
        <f t="shared" si="27"/>
        <v>550.2568098626158</v>
      </c>
      <c r="I386" s="9">
        <f t="shared" si="28"/>
        <v>1.4868317043426296E-2</v>
      </c>
      <c r="J386">
        <f t="shared" si="29"/>
        <v>0</v>
      </c>
      <c r="K386" s="5">
        <f t="shared" si="30"/>
        <v>1.6458435333172709E-2</v>
      </c>
      <c r="L386">
        <f t="shared" si="31"/>
        <v>0</v>
      </c>
      <c r="M386" s="9">
        <f t="shared" si="32"/>
        <v>2.4928888025889426E-2</v>
      </c>
      <c r="N386">
        <f t="shared" si="33"/>
        <v>0</v>
      </c>
      <c r="O386" s="5">
        <f t="shared" si="34"/>
        <v>2.3633546232237124E-2</v>
      </c>
      <c r="P386">
        <f t="shared" si="35"/>
        <v>0</v>
      </c>
    </row>
    <row r="387" spans="1:16" x14ac:dyDescent="0.25">
      <c r="A387" s="2">
        <f>'Historical Prices'!A385</f>
        <v>45678</v>
      </c>
      <c r="B387" s="3">
        <f>'Historical Prices'!C385/'Historical Prices'!C384-1</f>
        <v>-5.3595424464291108E-3</v>
      </c>
      <c r="C387" s="3">
        <f>'Historical Prices'!B385/'Historical Prices'!B384-1</f>
        <v>-1.8065918389419511E-2</v>
      </c>
      <c r="D387" s="3">
        <f>'Historical Prices'!D385/'Historical Prices'!D384-1</f>
        <v>-2.9847182810359696E-2</v>
      </c>
      <c r="E387" s="3">
        <f>'Historical Prices'!E385/'Historical Prices'!E384-1</f>
        <v>-6.9487383787608659E-3</v>
      </c>
      <c r="F387" s="3">
        <f>'Historical Prices'!F385/'Historical Prices'!F384-1</f>
        <v>-2.3129454492161972E-2</v>
      </c>
      <c r="G387" s="9">
        <f t="shared" si="26"/>
        <v>-1.7007118971429844E-2</v>
      </c>
      <c r="H387" s="6">
        <f t="shared" si="27"/>
        <v>-17007.118971429845</v>
      </c>
      <c r="I387" s="9">
        <f t="shared" si="28"/>
        <v>1.4868317043426296E-2</v>
      </c>
      <c r="J387">
        <f t="shared" si="29"/>
        <v>1</v>
      </c>
      <c r="K387" s="5">
        <f t="shared" si="30"/>
        <v>1.6452761429497254E-2</v>
      </c>
      <c r="L387">
        <f t="shared" si="31"/>
        <v>1</v>
      </c>
      <c r="M387" s="9">
        <f t="shared" si="32"/>
        <v>2.4928888025889426E-2</v>
      </c>
      <c r="N387">
        <f t="shared" si="33"/>
        <v>0</v>
      </c>
      <c r="O387" s="5">
        <f t="shared" si="34"/>
        <v>2.3601441766829451E-2</v>
      </c>
      <c r="P387">
        <f t="shared" si="35"/>
        <v>0</v>
      </c>
    </row>
    <row r="388" spans="1:16" x14ac:dyDescent="0.25">
      <c r="A388" s="2">
        <f>'Historical Prices'!A386</f>
        <v>45679</v>
      </c>
      <c r="B388" s="3">
        <f>'Historical Prices'!C386/'Historical Prices'!C385-1</f>
        <v>1.4399678507978075E-2</v>
      </c>
      <c r="C388" s="3">
        <f>'Historical Prices'!B386/'Historical Prices'!B385-1</f>
        <v>-1.1234759240486336E-2</v>
      </c>
      <c r="D388" s="3">
        <f>'Historical Prices'!D386/'Historical Prices'!D385-1</f>
        <v>3.5948000832557447E-3</v>
      </c>
      <c r="E388" s="3">
        <f>'Historical Prices'!E386/'Historical Prices'!E385-1</f>
        <v>3.0960239329291595E-2</v>
      </c>
      <c r="F388" s="3">
        <f>'Historical Prices'!F386/'Historical Prices'!F385-1</f>
        <v>1.8254170080491683E-3</v>
      </c>
      <c r="G388" s="9">
        <f t="shared" si="26"/>
        <v>7.8372924771764503E-3</v>
      </c>
      <c r="H388" s="6">
        <f t="shared" si="27"/>
        <v>7837.2924771764501</v>
      </c>
      <c r="I388" s="9">
        <f t="shared" si="28"/>
        <v>1.5180428710258936E-2</v>
      </c>
      <c r="J388">
        <f t="shared" si="29"/>
        <v>0</v>
      </c>
      <c r="K388" s="5">
        <f t="shared" si="30"/>
        <v>1.6630353610290929E-2</v>
      </c>
      <c r="L388">
        <f t="shared" si="31"/>
        <v>0</v>
      </c>
      <c r="M388" s="9">
        <f t="shared" si="32"/>
        <v>2.4928888025889426E-2</v>
      </c>
      <c r="N388">
        <f t="shared" si="33"/>
        <v>0</v>
      </c>
      <c r="O388" s="5">
        <f t="shared" si="34"/>
        <v>2.3805916092889789E-2</v>
      </c>
      <c r="P388">
        <f t="shared" si="35"/>
        <v>0</v>
      </c>
    </row>
    <row r="389" spans="1:16" x14ac:dyDescent="0.25">
      <c r="A389" s="2">
        <f>'Historical Prices'!A387</f>
        <v>45680</v>
      </c>
      <c r="B389" s="3">
        <f>'Historical Prices'!C387/'Historical Prices'!C386-1</f>
        <v>-6.9026126207594185E-4</v>
      </c>
      <c r="C389" s="3">
        <f>'Historical Prices'!B387/'Historical Prices'!B386-1</f>
        <v>-8.6000521678760711E-3</v>
      </c>
      <c r="D389" s="3">
        <f>'Historical Prices'!D387/'Historical Prices'!D386-1</f>
        <v>1.0830609922169998E-3</v>
      </c>
      <c r="E389" s="3">
        <f>'Historical Prices'!E387/'Historical Prices'!E386-1</f>
        <v>4.8478908621087946E-3</v>
      </c>
      <c r="F389" s="3">
        <f>'Historical Prices'!F387/'Historical Prices'!F386-1</f>
        <v>2.1227988457011238E-2</v>
      </c>
      <c r="G389" s="9">
        <f t="shared" si="26"/>
        <v>3.507137492464508E-3</v>
      </c>
      <c r="H389" s="6">
        <f t="shared" si="27"/>
        <v>3507.1374924645079</v>
      </c>
      <c r="I389" s="9">
        <f t="shared" si="28"/>
        <v>1.5180428710258936E-2</v>
      </c>
      <c r="J389">
        <f t="shared" si="29"/>
        <v>0</v>
      </c>
      <c r="K389" s="5">
        <f t="shared" si="30"/>
        <v>1.6595153274988263E-2</v>
      </c>
      <c r="L389">
        <f t="shared" si="31"/>
        <v>0</v>
      </c>
      <c r="M389" s="9">
        <f t="shared" si="32"/>
        <v>2.4928888025889426E-2</v>
      </c>
      <c r="N389">
        <f t="shared" si="33"/>
        <v>0</v>
      </c>
      <c r="O389" s="5">
        <f t="shared" si="34"/>
        <v>2.3774973903100838E-2</v>
      </c>
      <c r="P389">
        <f t="shared" si="35"/>
        <v>0</v>
      </c>
    </row>
    <row r="390" spans="1:16" x14ac:dyDescent="0.25">
      <c r="A390" s="2">
        <f>'Historical Prices'!A388</f>
        <v>45681</v>
      </c>
      <c r="B390" s="3">
        <f>'Historical Prices'!C388/'Historical Prices'!C387-1</f>
        <v>-9.0695628513460802E-3</v>
      </c>
      <c r="C390" s="3">
        <f>'Historical Prices'!B388/'Historical Prices'!B387-1</f>
        <v>-2.6812884480641452E-3</v>
      </c>
      <c r="D390" s="3">
        <f>'Historical Prices'!D388/'Historical Prices'!D387-1</f>
        <v>6.1993151510011391E-3</v>
      </c>
      <c r="E390" s="3">
        <f>'Historical Prices'!E388/'Historical Prices'!E387-1</f>
        <v>5.360703314142512E-3</v>
      </c>
      <c r="F390" s="3">
        <f>'Historical Prices'!F388/'Historical Prices'!F387-1</f>
        <v>-2.9465275514373834E-2</v>
      </c>
      <c r="G390" s="9">
        <f t="shared" ref="G390:G453" si="36">SUMPRODUCT(B390:F390, $B$2:$F$2)</f>
        <v>-5.6882075757443426E-3</v>
      </c>
      <c r="H390" s="6">
        <f t="shared" ref="H390:H453" si="37">G390*1000000</f>
        <v>-5688.2075757443426</v>
      </c>
      <c r="I390" s="9">
        <f t="shared" si="28"/>
        <v>1.4868317043426296E-2</v>
      </c>
      <c r="J390">
        <f t="shared" si="29"/>
        <v>0</v>
      </c>
      <c r="K390" s="5">
        <f t="shared" si="30"/>
        <v>1.6121986861976561E-2</v>
      </c>
      <c r="L390">
        <f t="shared" si="31"/>
        <v>0</v>
      </c>
      <c r="M390" s="9">
        <f t="shared" si="32"/>
        <v>2.205778909597007E-2</v>
      </c>
      <c r="N390">
        <f t="shared" si="33"/>
        <v>0</v>
      </c>
      <c r="O390" s="5">
        <f t="shared" si="34"/>
        <v>2.3164127784232841E-2</v>
      </c>
      <c r="P390">
        <f t="shared" si="35"/>
        <v>0</v>
      </c>
    </row>
    <row r="391" spans="1:16" x14ac:dyDescent="0.25">
      <c r="A391" s="2">
        <f>'Historical Prices'!A389</f>
        <v>45684</v>
      </c>
      <c r="B391" s="3">
        <f>'Historical Prices'!C389/'Historical Prices'!C388-1</f>
        <v>-1.2122777406319063E-2</v>
      </c>
      <c r="C391" s="3">
        <f>'Historical Prices'!B389/'Historical Prices'!B388-1</f>
        <v>-4.2172124142147993E-4</v>
      </c>
      <c r="D391" s="3">
        <f>'Historical Prices'!D389/'Historical Prices'!D388-1</f>
        <v>1.5506055762668725E-2</v>
      </c>
      <c r="E391" s="3">
        <f>'Historical Prices'!E389/'Historical Prices'!E388-1</f>
        <v>-2.849983965506786E-2</v>
      </c>
      <c r="F391" s="3">
        <f>'Historical Prices'!F389/'Historical Prices'!F388-1</f>
        <v>1.0780410880492752E-2</v>
      </c>
      <c r="G391" s="9">
        <f t="shared" si="36"/>
        <v>-2.262920591032511E-3</v>
      </c>
      <c r="H391" s="6">
        <f t="shared" si="37"/>
        <v>-2262.9205910325109</v>
      </c>
      <c r="I391" s="9">
        <f t="shared" si="28"/>
        <v>1.4868317043426296E-2</v>
      </c>
      <c r="J391">
        <f t="shared" si="29"/>
        <v>0</v>
      </c>
      <c r="K391" s="5">
        <f t="shared" si="30"/>
        <v>1.6154655024350054E-2</v>
      </c>
      <c r="L391">
        <f t="shared" si="31"/>
        <v>0</v>
      </c>
      <c r="M391" s="9">
        <f t="shared" si="32"/>
        <v>2.205778909597007E-2</v>
      </c>
      <c r="N391">
        <f t="shared" si="33"/>
        <v>0</v>
      </c>
      <c r="O391" s="5">
        <f t="shared" si="34"/>
        <v>2.3202138052105574E-2</v>
      </c>
      <c r="P391">
        <f t="shared" si="35"/>
        <v>0</v>
      </c>
    </row>
    <row r="392" spans="1:16" x14ac:dyDescent="0.25">
      <c r="A392" s="2">
        <f>'Historical Prices'!A390</f>
        <v>45685</v>
      </c>
      <c r="B392" s="3">
        <f>'Historical Prices'!C390/'Historical Prices'!C389-1</f>
        <v>2.4911094091523811E-2</v>
      </c>
      <c r="C392" s="3">
        <f>'Historical Prices'!B390/'Historical Prices'!B389-1</f>
        <v>3.7654323176824045E-2</v>
      </c>
      <c r="D392" s="3">
        <f>'Historical Prices'!D390/'Historical Prices'!D389-1</f>
        <v>1.5432236890423612E-2</v>
      </c>
      <c r="E392" s="3">
        <f>'Historical Prices'!E390/'Historical Prices'!E389-1</f>
        <v>4.2535654098876385E-3</v>
      </c>
      <c r="F392" s="3">
        <f>'Historical Prices'!F390/'Historical Prices'!F389-1</f>
        <v>1.3773136183965473E-2</v>
      </c>
      <c r="G392" s="9">
        <f t="shared" si="36"/>
        <v>1.9141921699261152E-2</v>
      </c>
      <c r="H392" s="6">
        <f t="shared" si="37"/>
        <v>19141.921699261151</v>
      </c>
      <c r="I392" s="9">
        <f t="shared" si="28"/>
        <v>1.4868317043426296E-2</v>
      </c>
      <c r="J392">
        <f t="shared" si="29"/>
        <v>0</v>
      </c>
      <c r="K392" s="5">
        <f t="shared" si="30"/>
        <v>1.6179078321218988E-2</v>
      </c>
      <c r="L392">
        <f t="shared" si="31"/>
        <v>0</v>
      </c>
      <c r="M392" s="9">
        <f t="shared" si="32"/>
        <v>2.205778909597007E-2</v>
      </c>
      <c r="N392">
        <f t="shared" si="33"/>
        <v>0</v>
      </c>
      <c r="O392" s="5">
        <f t="shared" si="34"/>
        <v>2.3215686352537936E-2</v>
      </c>
      <c r="P392">
        <f t="shared" si="35"/>
        <v>0</v>
      </c>
    </row>
    <row r="393" spans="1:16" x14ac:dyDescent="0.25">
      <c r="A393" s="2">
        <f>'Historical Prices'!A391</f>
        <v>45686</v>
      </c>
      <c r="B393" s="3">
        <f>'Historical Prices'!C391/'Historical Prices'!C390-1</f>
        <v>4.1307069115761319E-3</v>
      </c>
      <c r="C393" s="3">
        <f>'Historical Prices'!B391/'Historical Prices'!B390-1</f>
        <v>-4.0652717850442333E-4</v>
      </c>
      <c r="D393" s="3">
        <f>'Historical Prices'!D391/'Historical Prices'!D390-1</f>
        <v>3.8095234305288717E-3</v>
      </c>
      <c r="E393" s="3">
        <f>'Historical Prices'!E391/'Historical Prices'!E390-1</f>
        <v>2.814590774801573E-2</v>
      </c>
      <c r="F393" s="3">
        <f>'Historical Prices'!F391/'Historical Prices'!F390-1</f>
        <v>1.8724345486941241E-2</v>
      </c>
      <c r="G393" s="9">
        <f t="shared" si="36"/>
        <v>1.0461817260912479E-2</v>
      </c>
      <c r="H393" s="6">
        <f t="shared" si="37"/>
        <v>10461.817260912479</v>
      </c>
      <c r="I393" s="9">
        <f t="shared" si="28"/>
        <v>1.4868317043426296E-2</v>
      </c>
      <c r="J393">
        <f t="shared" si="29"/>
        <v>0</v>
      </c>
      <c r="K393" s="5">
        <f t="shared" si="30"/>
        <v>1.6098085203008521E-2</v>
      </c>
      <c r="L393">
        <f t="shared" si="31"/>
        <v>0</v>
      </c>
      <c r="M393" s="9">
        <f t="shared" si="32"/>
        <v>2.205778909597007E-2</v>
      </c>
      <c r="N393">
        <f t="shared" si="33"/>
        <v>0</v>
      </c>
      <c r="O393" s="5">
        <f t="shared" si="34"/>
        <v>2.3154100822105762E-2</v>
      </c>
      <c r="P393">
        <f t="shared" si="35"/>
        <v>0</v>
      </c>
    </row>
    <row r="394" spans="1:16" x14ac:dyDescent="0.25">
      <c r="A394" s="2">
        <f>'Historical Prices'!A392</f>
        <v>45687</v>
      </c>
      <c r="B394" s="3">
        <f>'Historical Prices'!C392/'Historical Prices'!C391-1</f>
        <v>8.4660201105093424E-3</v>
      </c>
      <c r="C394" s="3">
        <f>'Historical Prices'!B392/'Historical Prices'!B391-1</f>
        <v>1.321843907286846E-3</v>
      </c>
      <c r="D394" s="3">
        <f>'Historical Prices'!D392/'Historical Prices'!D391-1</f>
        <v>3.1557165387352537E-3</v>
      </c>
      <c r="E394" s="3">
        <f>'Historical Prices'!E392/'Historical Prices'!E391-1</f>
        <v>-1.1322226425144355E-2</v>
      </c>
      <c r="F394" s="3">
        <f>'Historical Prices'!F392/'Historical Prices'!F391-1</f>
        <v>1.6106050905067226E-2</v>
      </c>
      <c r="G394" s="9">
        <f t="shared" si="36"/>
        <v>3.7680543832965974E-3</v>
      </c>
      <c r="H394" s="6">
        <f t="shared" si="37"/>
        <v>3768.0543832965973</v>
      </c>
      <c r="I394" s="9">
        <f t="shared" si="28"/>
        <v>1.4868317043426296E-2</v>
      </c>
      <c r="J394">
        <f t="shared" si="29"/>
        <v>0</v>
      </c>
      <c r="K394" s="5">
        <f t="shared" si="30"/>
        <v>1.6085744596618129E-2</v>
      </c>
      <c r="L394">
        <f t="shared" si="31"/>
        <v>0</v>
      </c>
      <c r="M394" s="9">
        <f t="shared" si="32"/>
        <v>2.205778909597007E-2</v>
      </c>
      <c r="N394">
        <f t="shared" si="33"/>
        <v>0</v>
      </c>
      <c r="O394" s="5">
        <f t="shared" si="34"/>
        <v>2.3153629329030093E-2</v>
      </c>
      <c r="P394">
        <f t="shared" si="35"/>
        <v>0</v>
      </c>
    </row>
    <row r="395" spans="1:16" x14ac:dyDescent="0.25">
      <c r="A395" s="2">
        <f>'Historical Prices'!A393</f>
        <v>45688</v>
      </c>
      <c r="B395" s="3">
        <f>'Historical Prices'!C393/'Historical Prices'!C392-1</f>
        <v>4.2861018726545463E-3</v>
      </c>
      <c r="C395" s="3">
        <f>'Historical Prices'!B393/'Historical Prices'!B392-1</f>
        <v>1.4217930622757446E-3</v>
      </c>
      <c r="D395" s="3">
        <f>'Historical Prices'!D393/'Historical Prices'!D392-1</f>
        <v>-2.2298440670143194E-3</v>
      </c>
      <c r="E395" s="3">
        <f>'Historical Prices'!E393/'Historical Prices'!E392-1</f>
        <v>1.0672407291862696E-2</v>
      </c>
      <c r="F395" s="3">
        <f>'Historical Prices'!F393/'Historical Prices'!F392-1</f>
        <v>6.1923691833762895E-3</v>
      </c>
      <c r="G395" s="9">
        <f t="shared" si="36"/>
        <v>3.8166739357238812E-3</v>
      </c>
      <c r="H395" s="6">
        <f t="shared" si="37"/>
        <v>3816.6739357238812</v>
      </c>
      <c r="I395" s="9">
        <f t="shared" si="28"/>
        <v>1.4868317043426296E-2</v>
      </c>
      <c r="J395">
        <f t="shared" si="29"/>
        <v>0</v>
      </c>
      <c r="K395" s="5">
        <f t="shared" si="30"/>
        <v>1.6053825130581508E-2</v>
      </c>
      <c r="L395">
        <f t="shared" si="31"/>
        <v>0</v>
      </c>
      <c r="M395" s="9">
        <f t="shared" si="32"/>
        <v>2.205778909597007E-2</v>
      </c>
      <c r="N395">
        <f t="shared" si="33"/>
        <v>0</v>
      </c>
      <c r="O395" s="5">
        <f t="shared" si="34"/>
        <v>2.312026135674072E-2</v>
      </c>
      <c r="P395">
        <f t="shared" si="35"/>
        <v>0</v>
      </c>
    </row>
    <row r="396" spans="1:16" x14ac:dyDescent="0.25">
      <c r="A396" s="2">
        <f>'Historical Prices'!A394</f>
        <v>45689</v>
      </c>
      <c r="B396" s="3">
        <f>'Historical Prices'!C394/'Historical Prices'!C393-1</f>
        <v>-4.5916377850774293E-3</v>
      </c>
      <c r="C396" s="3">
        <f>'Historical Prices'!B394/'Historical Prices'!B393-1</f>
        <v>1.2219818354922696E-2</v>
      </c>
      <c r="D396" s="3">
        <f>'Historical Prices'!D394/'Historical Prices'!D393-1</f>
        <v>2.195022305696348E-3</v>
      </c>
      <c r="E396" s="3">
        <f>'Historical Prices'!E394/'Historical Prices'!E393-1</f>
        <v>-1.51346755245656E-2</v>
      </c>
      <c r="F396" s="3">
        <f>'Historical Prices'!F394/'Historical Prices'!F393-1</f>
        <v>2.9065007497982798E-2</v>
      </c>
      <c r="G396" s="9">
        <f t="shared" si="36"/>
        <v>4.6060476973628717E-3</v>
      </c>
      <c r="H396" s="6">
        <f t="shared" si="37"/>
        <v>4606.047697362872</v>
      </c>
      <c r="I396" s="9">
        <f t="shared" si="28"/>
        <v>1.4868317043426296E-2</v>
      </c>
      <c r="J396">
        <f t="shared" si="29"/>
        <v>0</v>
      </c>
      <c r="K396" s="5">
        <f t="shared" si="30"/>
        <v>1.6057577598077577E-2</v>
      </c>
      <c r="L396">
        <f t="shared" si="31"/>
        <v>0</v>
      </c>
      <c r="M396" s="9">
        <f t="shared" si="32"/>
        <v>2.4928888025889426E-2</v>
      </c>
      <c r="N396">
        <f t="shared" si="33"/>
        <v>0</v>
      </c>
      <c r="O396" s="5">
        <f t="shared" si="34"/>
        <v>2.3120518570077908E-2</v>
      </c>
      <c r="P396">
        <f t="shared" si="35"/>
        <v>0</v>
      </c>
    </row>
    <row r="397" spans="1:16" x14ac:dyDescent="0.25">
      <c r="A397" s="2">
        <f>'Historical Prices'!A395</f>
        <v>45691</v>
      </c>
      <c r="B397" s="3">
        <f>'Historical Prices'!C395/'Historical Prices'!C394-1</f>
        <v>-7.6583045639604386E-3</v>
      </c>
      <c r="C397" s="3">
        <f>'Historical Prices'!B395/'Historical Prices'!B394-1</f>
        <v>-8.766144062157144E-3</v>
      </c>
      <c r="D397" s="3">
        <f>'Historical Prices'!D395/'Historical Prices'!D394-1</f>
        <v>-2.0310467483594108E-3</v>
      </c>
      <c r="E397" s="3">
        <f>'Historical Prices'!E395/'Historical Prices'!E394-1</f>
        <v>6.454773756251031E-3</v>
      </c>
      <c r="F397" s="3">
        <f>'Historical Prices'!F395/'Historical Prices'!F394-1</f>
        <v>3.1380448258863103E-2</v>
      </c>
      <c r="G397" s="9">
        <f t="shared" si="36"/>
        <v>3.5546014059523222E-3</v>
      </c>
      <c r="H397" s="6">
        <f t="shared" si="37"/>
        <v>3554.6014059523222</v>
      </c>
      <c r="I397" s="9">
        <f t="shared" si="28"/>
        <v>1.4868317043426296E-2</v>
      </c>
      <c r="J397">
        <f t="shared" si="29"/>
        <v>0</v>
      </c>
      <c r="K397" s="5">
        <f t="shared" si="30"/>
        <v>1.6007671404165438E-2</v>
      </c>
      <c r="L397">
        <f t="shared" si="31"/>
        <v>0</v>
      </c>
      <c r="M397" s="9">
        <f t="shared" si="32"/>
        <v>2.4928888025889426E-2</v>
      </c>
      <c r="N397">
        <f t="shared" si="33"/>
        <v>0</v>
      </c>
      <c r="O397" s="5">
        <f t="shared" si="34"/>
        <v>2.3066703281021925E-2</v>
      </c>
      <c r="P397">
        <f t="shared" si="35"/>
        <v>0</v>
      </c>
    </row>
    <row r="398" spans="1:16" x14ac:dyDescent="0.25">
      <c r="A398" s="2">
        <f>'Historical Prices'!A396</f>
        <v>45692</v>
      </c>
      <c r="B398" s="3">
        <f>'Historical Prices'!C396/'Historical Prices'!C395-1</f>
        <v>2.5566144532945811E-2</v>
      </c>
      <c r="C398" s="3">
        <f>'Historical Prices'!B396/'Historical Prices'!B395-1</f>
        <v>2.6177447896556405E-2</v>
      </c>
      <c r="D398" s="3">
        <f>'Historical Prices'!D396/'Historical Prices'!D395-1</f>
        <v>1.2130890298564623E-2</v>
      </c>
      <c r="E398" s="3">
        <f>'Historical Prices'!E396/'Historical Prices'!E395-1</f>
        <v>1.9052278114264798E-2</v>
      </c>
      <c r="F398" s="3">
        <f>'Historical Prices'!F396/'Historical Prices'!F395-1</f>
        <v>4.9633071222316971E-3</v>
      </c>
      <c r="G398" s="9">
        <f t="shared" si="36"/>
        <v>1.7438663328681776E-2</v>
      </c>
      <c r="H398" s="6">
        <f t="shared" si="37"/>
        <v>17438.663328681778</v>
      </c>
      <c r="I398" s="9">
        <f t="shared" si="28"/>
        <v>1.4868317043426296E-2</v>
      </c>
      <c r="J398">
        <f t="shared" si="29"/>
        <v>0</v>
      </c>
      <c r="K398" s="5">
        <f t="shared" si="30"/>
        <v>1.6003917884789959E-2</v>
      </c>
      <c r="L398">
        <f t="shared" si="31"/>
        <v>0</v>
      </c>
      <c r="M398" s="9">
        <f t="shared" si="32"/>
        <v>2.4928888025889426E-2</v>
      </c>
      <c r="N398">
        <f t="shared" si="33"/>
        <v>0</v>
      </c>
      <c r="O398" s="5">
        <f t="shared" si="34"/>
        <v>2.3046836871042514E-2</v>
      </c>
      <c r="P398">
        <f t="shared" si="35"/>
        <v>0</v>
      </c>
    </row>
    <row r="399" spans="1:16" x14ac:dyDescent="0.25">
      <c r="A399" s="2">
        <f>'Historical Prices'!A397</f>
        <v>45693</v>
      </c>
      <c r="B399" s="3">
        <f>'Historical Prices'!C397/'Historical Prices'!C396-1</f>
        <v>9.8204495353599874E-3</v>
      </c>
      <c r="C399" s="3">
        <f>'Historical Prices'!B397/'Historical Prices'!B396-1</f>
        <v>-1.9698737865769811E-3</v>
      </c>
      <c r="D399" s="3">
        <f>'Historical Prices'!D397/'Historical Prices'!D396-1</f>
        <v>-3.9429318569195182E-4</v>
      </c>
      <c r="E399" s="3">
        <f>'Historical Prices'!E397/'Historical Prices'!E396-1</f>
        <v>-9.2163418067936487E-4</v>
      </c>
      <c r="F399" s="3">
        <f>'Historical Prices'!F397/'Historical Prices'!F396-1</f>
        <v>-3.2298325544943829E-3</v>
      </c>
      <c r="G399" s="9">
        <f t="shared" si="36"/>
        <v>8.215893202578006E-4</v>
      </c>
      <c r="H399" s="6">
        <f t="shared" si="37"/>
        <v>821.58932025780064</v>
      </c>
      <c r="I399" s="9">
        <f t="shared" si="28"/>
        <v>1.4868317043426296E-2</v>
      </c>
      <c r="J399">
        <f t="shared" si="29"/>
        <v>0</v>
      </c>
      <c r="K399" s="5">
        <f t="shared" si="30"/>
        <v>1.6028583945031004E-2</v>
      </c>
      <c r="L399">
        <f t="shared" si="31"/>
        <v>0</v>
      </c>
      <c r="M399" s="9">
        <f t="shared" si="32"/>
        <v>2.4928888025889426E-2</v>
      </c>
      <c r="N399">
        <f t="shared" si="33"/>
        <v>0</v>
      </c>
      <c r="O399" s="5">
        <f t="shared" si="34"/>
        <v>2.3106887118804091E-2</v>
      </c>
      <c r="P399">
        <f t="shared" si="35"/>
        <v>0</v>
      </c>
    </row>
    <row r="400" spans="1:16" x14ac:dyDescent="0.25">
      <c r="A400" s="2">
        <f>'Historical Prices'!A398</f>
        <v>45694</v>
      </c>
      <c r="B400" s="3">
        <f>'Historical Prices'!C398/'Historical Prices'!C397-1</f>
        <v>3.4813419927830491E-3</v>
      </c>
      <c r="C400" s="3">
        <f>'Historical Prices'!B398/'Historical Prices'!B397-1</f>
        <v>7.3028886727124487E-3</v>
      </c>
      <c r="D400" s="3">
        <f>'Historical Prices'!D398/'Historical Prices'!D397-1</f>
        <v>3.7074852098857303E-3</v>
      </c>
      <c r="E400" s="3">
        <f>'Historical Prices'!E398/'Historical Prices'!E397-1</f>
        <v>9.8046369104483055E-3</v>
      </c>
      <c r="F400" s="3">
        <f>'Historical Prices'!F398/'Historical Prices'!F397-1</f>
        <v>-1.2206077581428554E-2</v>
      </c>
      <c r="G400" s="9">
        <f t="shared" si="36"/>
        <v>2.3743083661295602E-3</v>
      </c>
      <c r="H400" s="6">
        <f t="shared" si="37"/>
        <v>2374.30836612956</v>
      </c>
      <c r="I400" s="9">
        <f t="shared" si="28"/>
        <v>1.4868317043426296E-2</v>
      </c>
      <c r="J400">
        <f t="shared" si="29"/>
        <v>0</v>
      </c>
      <c r="K400" s="5">
        <f t="shared" si="30"/>
        <v>1.6020385738100423E-2</v>
      </c>
      <c r="L400">
        <f t="shared" si="31"/>
        <v>0</v>
      </c>
      <c r="M400" s="9">
        <f t="shared" si="32"/>
        <v>2.4928888025889426E-2</v>
      </c>
      <c r="N400">
        <f t="shared" si="33"/>
        <v>0</v>
      </c>
      <c r="O400" s="5">
        <f t="shared" si="34"/>
        <v>2.3098179855640787E-2</v>
      </c>
      <c r="P400">
        <f t="shared" si="35"/>
        <v>0</v>
      </c>
    </row>
    <row r="401" spans="1:16" x14ac:dyDescent="0.25">
      <c r="A401" s="2">
        <f>'Historical Prices'!A399</f>
        <v>45695</v>
      </c>
      <c r="B401" s="3">
        <f>'Historical Prices'!C399/'Historical Prices'!C398-1</f>
        <v>-6.3651739637282656E-3</v>
      </c>
      <c r="C401" s="3">
        <f>'Historical Prices'!B399/'Historical Prices'!B398-1</f>
        <v>3.3310387707998768E-3</v>
      </c>
      <c r="D401" s="3">
        <f>'Historical Prices'!D399/'Historical Prices'!D398-1</f>
        <v>-1.2181572891040715E-2</v>
      </c>
      <c r="E401" s="3">
        <f>'Historical Prices'!E399/'Historical Prices'!E398-1</f>
        <v>-6.2641890356583962E-3</v>
      </c>
      <c r="F401" s="3">
        <f>'Historical Prices'!F399/'Historical Prices'!F398-1</f>
        <v>1.8630876569769583E-2</v>
      </c>
      <c r="G401" s="9">
        <f t="shared" si="36"/>
        <v>-1.063174923891535E-3</v>
      </c>
      <c r="H401" s="6">
        <f t="shared" si="37"/>
        <v>-1063.1749238915349</v>
      </c>
      <c r="I401" s="9">
        <f t="shared" si="28"/>
        <v>1.4868317043426296E-2</v>
      </c>
      <c r="J401">
        <f t="shared" si="29"/>
        <v>0</v>
      </c>
      <c r="K401" s="5">
        <f t="shared" si="30"/>
        <v>1.6022367130047215E-2</v>
      </c>
      <c r="L401">
        <f t="shared" si="31"/>
        <v>0</v>
      </c>
      <c r="M401" s="9">
        <f t="shared" si="32"/>
        <v>2.4928888025889426E-2</v>
      </c>
      <c r="N401">
        <f t="shared" si="33"/>
        <v>0</v>
      </c>
      <c r="O401" s="5">
        <f t="shared" si="34"/>
        <v>2.3099869534968502E-2</v>
      </c>
      <c r="P401">
        <f t="shared" si="35"/>
        <v>0</v>
      </c>
    </row>
    <row r="402" spans="1:16" x14ac:dyDescent="0.25">
      <c r="A402" s="2">
        <f>'Historical Prices'!A400</f>
        <v>45698</v>
      </c>
      <c r="B402" s="3">
        <f>'Historical Prices'!C400/'Historical Prices'!C399-1</f>
        <v>-9.8110644989013451E-3</v>
      </c>
      <c r="C402" s="3">
        <f>'Historical Prices'!B400/'Historical Prices'!B399-1</f>
        <v>-1.2059379612990417E-2</v>
      </c>
      <c r="D402" s="3">
        <f>'Historical Prices'!D400/'Historical Prices'!D399-1</f>
        <v>4.5348202006165739E-3</v>
      </c>
      <c r="E402" s="3">
        <f>'Historical Prices'!E400/'Historical Prices'!E399-1</f>
        <v>-1.2265917261953141E-2</v>
      </c>
      <c r="F402" s="3">
        <f>'Historical Prices'!F400/'Historical Prices'!F399-1</f>
        <v>-1.9134271278812953E-2</v>
      </c>
      <c r="G402" s="9">
        <f t="shared" si="36"/>
        <v>-9.2047844321517646E-3</v>
      </c>
      <c r="H402" s="6">
        <f t="shared" si="37"/>
        <v>-9204.7844321517641</v>
      </c>
      <c r="I402" s="9">
        <f t="shared" si="28"/>
        <v>1.4868317043426296E-2</v>
      </c>
      <c r="J402">
        <f t="shared" si="29"/>
        <v>0</v>
      </c>
      <c r="K402" s="5">
        <f t="shared" si="30"/>
        <v>1.6044133621403462E-2</v>
      </c>
      <c r="L402">
        <f t="shared" si="31"/>
        <v>0</v>
      </c>
      <c r="M402" s="9">
        <f t="shared" si="32"/>
        <v>2.4928888025889426E-2</v>
      </c>
      <c r="N402">
        <f t="shared" si="33"/>
        <v>0</v>
      </c>
      <c r="O402" s="5">
        <f t="shared" si="34"/>
        <v>2.3119126039496223E-2</v>
      </c>
      <c r="P402">
        <f t="shared" si="35"/>
        <v>0</v>
      </c>
    </row>
    <row r="403" spans="1:16" x14ac:dyDescent="0.25">
      <c r="A403" s="2">
        <f>'Historical Prices'!A401</f>
        <v>45699</v>
      </c>
      <c r="B403" s="3">
        <f>'Historical Prices'!C401/'Historical Prices'!C400-1</f>
        <v>-8.3635981936814874E-3</v>
      </c>
      <c r="C403" s="3">
        <f>'Historical Prices'!B401/'Historical Prices'!B400-1</f>
        <v>-4.2994408201187939E-3</v>
      </c>
      <c r="D403" s="3">
        <f>'Historical Prices'!D401/'Historical Prices'!D400-1</f>
        <v>-7.8012712054656985E-3</v>
      </c>
      <c r="E403" s="3">
        <f>'Historical Prices'!E401/'Historical Prices'!E400-1</f>
        <v>-2.4729946849803008E-3</v>
      </c>
      <c r="F403" s="3">
        <f>'Historical Prices'!F401/'Historical Prices'!F400-1</f>
        <v>-1.6351916089060281E-2</v>
      </c>
      <c r="G403" s="9">
        <f t="shared" si="36"/>
        <v>-7.9431816452357126E-3</v>
      </c>
      <c r="H403" s="6">
        <f t="shared" si="37"/>
        <v>-7943.1816452357125</v>
      </c>
      <c r="I403" s="9">
        <f t="shared" si="28"/>
        <v>1.4868317043426296E-2</v>
      </c>
      <c r="J403">
        <f t="shared" si="29"/>
        <v>0</v>
      </c>
      <c r="K403" s="5">
        <f t="shared" si="30"/>
        <v>1.6088656243124774E-2</v>
      </c>
      <c r="L403">
        <f t="shared" si="31"/>
        <v>0</v>
      </c>
      <c r="M403" s="9">
        <f t="shared" si="32"/>
        <v>2.4928888025889426E-2</v>
      </c>
      <c r="N403">
        <f t="shared" si="33"/>
        <v>0</v>
      </c>
      <c r="O403" s="5">
        <f t="shared" si="34"/>
        <v>2.317381854262688E-2</v>
      </c>
      <c r="P403">
        <f t="shared" si="35"/>
        <v>0</v>
      </c>
    </row>
    <row r="404" spans="1:16" x14ac:dyDescent="0.25">
      <c r="A404" s="2">
        <f>'Historical Prices'!A402</f>
        <v>45700</v>
      </c>
      <c r="B404" s="3">
        <f>'Historical Prices'!C402/'Historical Prices'!C401-1</f>
        <v>3.1738064869510918E-3</v>
      </c>
      <c r="C404" s="3">
        <f>'Historical Prices'!B402/'Historical Prices'!B401-1</f>
        <v>-4.9634552785360331E-4</v>
      </c>
      <c r="D404" s="3">
        <f>'Historical Prices'!D402/'Historical Prices'!D401-1</f>
        <v>-7.5840618845157692E-4</v>
      </c>
      <c r="E404" s="3">
        <f>'Historical Prices'!E402/'Historical Prices'!E401-1</f>
        <v>-6.6643527978986761E-3</v>
      </c>
      <c r="F404" s="3">
        <f>'Historical Prices'!F402/'Historical Prices'!F401-1</f>
        <v>-3.1999849141703285E-2</v>
      </c>
      <c r="G404" s="9">
        <f t="shared" si="36"/>
        <v>-6.9992855365893425E-3</v>
      </c>
      <c r="H404" s="6">
        <f t="shared" si="37"/>
        <v>-6999.2855365893429</v>
      </c>
      <c r="I404" s="9">
        <f t="shared" si="28"/>
        <v>1.4543686793636943E-2</v>
      </c>
      <c r="J404">
        <f t="shared" si="29"/>
        <v>0</v>
      </c>
      <c r="K404" s="5">
        <f t="shared" si="30"/>
        <v>1.5904979759195002E-2</v>
      </c>
      <c r="L404">
        <f t="shared" si="31"/>
        <v>0</v>
      </c>
      <c r="M404" s="9">
        <f t="shared" si="32"/>
        <v>2.4928888025889426E-2</v>
      </c>
      <c r="N404">
        <f t="shared" si="33"/>
        <v>0</v>
      </c>
      <c r="O404" s="5">
        <f t="shared" si="34"/>
        <v>2.2935889006951284E-2</v>
      </c>
      <c r="P404">
        <f t="shared" si="35"/>
        <v>0</v>
      </c>
    </row>
    <row r="405" spans="1:16" x14ac:dyDescent="0.25">
      <c r="A405" s="2">
        <f>'Historical Prices'!A403</f>
        <v>45701</v>
      </c>
      <c r="B405" s="3">
        <f>'Historical Prices'!C403/'Historical Prices'!C402-1</f>
        <v>-5.3316696105295547E-3</v>
      </c>
      <c r="C405" s="3">
        <f>'Historical Prices'!B403/'Historical Prices'!B402-1</f>
        <v>1.2910542219093379E-3</v>
      </c>
      <c r="D405" s="3">
        <f>'Historical Prices'!D403/'Historical Prices'!D402-1</f>
        <v>-2.3165841042318558E-3</v>
      </c>
      <c r="E405" s="3">
        <f>'Historical Prices'!E403/'Historical Prices'!E402-1</f>
        <v>-1.0680885610280244E-2</v>
      </c>
      <c r="F405" s="3">
        <f>'Historical Prices'!F403/'Historical Prices'!F402-1</f>
        <v>-3.0797766550032524E-3</v>
      </c>
      <c r="G405" s="9">
        <f t="shared" si="36"/>
        <v>-3.9748491484964746E-3</v>
      </c>
      <c r="H405" s="6">
        <f t="shared" si="37"/>
        <v>-3974.8491484964748</v>
      </c>
      <c r="I405" s="9">
        <f t="shared" si="28"/>
        <v>1.4543686793636943E-2</v>
      </c>
      <c r="J405">
        <f t="shared" si="29"/>
        <v>0</v>
      </c>
      <c r="K405" s="5">
        <f t="shared" si="30"/>
        <v>1.5956775609480871E-2</v>
      </c>
      <c r="L405">
        <f t="shared" si="31"/>
        <v>0</v>
      </c>
      <c r="M405" s="9">
        <f t="shared" si="32"/>
        <v>2.4928888025889426E-2</v>
      </c>
      <c r="N405">
        <f t="shared" si="33"/>
        <v>0</v>
      </c>
      <c r="O405" s="5">
        <f t="shared" si="34"/>
        <v>2.2996262079317317E-2</v>
      </c>
      <c r="P405">
        <f t="shared" si="35"/>
        <v>0</v>
      </c>
    </row>
    <row r="406" spans="1:16" x14ac:dyDescent="0.25">
      <c r="A406" s="2">
        <f>'Historical Prices'!A404</f>
        <v>45702</v>
      </c>
      <c r="B406" s="3">
        <f>'Historical Prices'!C404/'Historical Prices'!C403-1</f>
        <v>-1.6787400730168267E-3</v>
      </c>
      <c r="C406" s="3">
        <f>'Historical Prices'!B404/'Historical Prices'!B403-1</f>
        <v>-1.0612966356961961E-2</v>
      </c>
      <c r="D406" s="3">
        <f>'Historical Prices'!D404/'Historical Prices'!D403-1</f>
        <v>8.9678214866564243E-3</v>
      </c>
      <c r="E406" s="3">
        <f>'Historical Prices'!E404/'Historical Prices'!E403-1</f>
        <v>7.1341206603470209E-3</v>
      </c>
      <c r="F406" s="3">
        <f>'Historical Prices'!F404/'Historical Prices'!F403-1</f>
        <v>-1.188718150507273E-2</v>
      </c>
      <c r="G406" s="9">
        <f t="shared" si="36"/>
        <v>-1.2429838231565846E-3</v>
      </c>
      <c r="H406" s="6">
        <f t="shared" si="37"/>
        <v>-1242.9838231565845</v>
      </c>
      <c r="I406" s="9">
        <f t="shared" si="28"/>
        <v>1.4543686793636943E-2</v>
      </c>
      <c r="J406">
        <f t="shared" si="29"/>
        <v>0</v>
      </c>
      <c r="K406" s="5">
        <f t="shared" si="30"/>
        <v>1.5961322046640934E-2</v>
      </c>
      <c r="L406">
        <f t="shared" si="31"/>
        <v>0</v>
      </c>
      <c r="M406" s="9">
        <f t="shared" si="32"/>
        <v>2.4928888025889426E-2</v>
      </c>
      <c r="N406">
        <f t="shared" si="33"/>
        <v>0</v>
      </c>
      <c r="O406" s="5">
        <f t="shared" si="34"/>
        <v>2.3001614911719648E-2</v>
      </c>
      <c r="P406">
        <f t="shared" si="35"/>
        <v>0</v>
      </c>
    </row>
    <row r="407" spans="1:16" x14ac:dyDescent="0.25">
      <c r="A407" s="2">
        <f>'Historical Prices'!A405</f>
        <v>45705</v>
      </c>
      <c r="B407" s="3">
        <f>'Historical Prices'!C405/'Historical Prices'!C404-1</f>
        <v>1.327552455066372E-2</v>
      </c>
      <c r="C407" s="3">
        <f>'Historical Prices'!B405/'Historical Prices'!B404-1</f>
        <v>-4.561394627438764E-3</v>
      </c>
      <c r="D407" s="3">
        <f>'Historical Prices'!D405/'Historical Prices'!D404-1</f>
        <v>-7.1025372955072497E-3</v>
      </c>
      <c r="E407" s="3">
        <f>'Historical Prices'!E405/'Historical Prices'!E404-1</f>
        <v>-7.5952869242235099E-3</v>
      </c>
      <c r="F407" s="3">
        <f>'Historical Prices'!F405/'Historical Prices'!F404-1</f>
        <v>-3.7602826368713926E-2</v>
      </c>
      <c r="G407" s="9">
        <f t="shared" si="36"/>
        <v>-8.3211041505602927E-3</v>
      </c>
      <c r="H407" s="6">
        <f t="shared" si="37"/>
        <v>-8321.1041505602934</v>
      </c>
      <c r="I407" s="9">
        <f t="shared" si="28"/>
        <v>1.4543686793636943E-2</v>
      </c>
      <c r="J407">
        <f t="shared" si="29"/>
        <v>0</v>
      </c>
      <c r="K407" s="5">
        <f t="shared" si="30"/>
        <v>1.5983225019744585E-2</v>
      </c>
      <c r="L407">
        <f t="shared" si="31"/>
        <v>0</v>
      </c>
      <c r="M407" s="9">
        <f t="shared" si="32"/>
        <v>2.4928888025889426E-2</v>
      </c>
      <c r="N407">
        <f t="shared" si="33"/>
        <v>0</v>
      </c>
      <c r="O407" s="5">
        <f t="shared" si="34"/>
        <v>2.3015238291917425E-2</v>
      </c>
      <c r="P407">
        <f t="shared" si="35"/>
        <v>0</v>
      </c>
    </row>
    <row r="408" spans="1:16" x14ac:dyDescent="0.25">
      <c r="A408" s="2">
        <f>'Historical Prices'!A406</f>
        <v>45706</v>
      </c>
      <c r="B408" s="3">
        <f>'Historical Prices'!C406/'Historical Prices'!C405-1</f>
        <v>3.3190636493911629E-3</v>
      </c>
      <c r="C408" s="3">
        <f>'Historical Prices'!B406/'Historical Prices'!B405-1</f>
        <v>1.2085278512752318E-3</v>
      </c>
      <c r="D408" s="3">
        <f>'Historical Prices'!D406/'Historical Prices'!D405-1</f>
        <v>-6.4740798848925696E-3</v>
      </c>
      <c r="E408" s="3">
        <f>'Historical Prices'!E406/'Historical Prices'!E405-1</f>
        <v>5.2380009813324246E-3</v>
      </c>
      <c r="F408" s="3">
        <f>'Historical Prices'!F406/'Historical Prices'!F405-1</f>
        <v>-1.479535250091546E-2</v>
      </c>
      <c r="G408" s="9">
        <f t="shared" si="36"/>
        <v>-2.4455192890982303E-3</v>
      </c>
      <c r="H408" s="6">
        <f t="shared" si="37"/>
        <v>-2445.5192890982303</v>
      </c>
      <c r="I408" s="9">
        <f t="shared" si="28"/>
        <v>1.4543686793636943E-2</v>
      </c>
      <c r="J408">
        <f t="shared" si="29"/>
        <v>0</v>
      </c>
      <c r="K408" s="5">
        <f t="shared" si="30"/>
        <v>1.6054140215899296E-2</v>
      </c>
      <c r="L408">
        <f t="shared" si="31"/>
        <v>0</v>
      </c>
      <c r="M408" s="9">
        <f t="shared" si="32"/>
        <v>2.4928888025889426E-2</v>
      </c>
      <c r="N408">
        <f t="shared" si="33"/>
        <v>0</v>
      </c>
      <c r="O408" s="5">
        <f t="shared" si="34"/>
        <v>2.3097155487630628E-2</v>
      </c>
      <c r="P408">
        <f t="shared" si="35"/>
        <v>0</v>
      </c>
    </row>
    <row r="409" spans="1:16" x14ac:dyDescent="0.25">
      <c r="A409" s="2">
        <f>'Historical Prices'!A407</f>
        <v>45707</v>
      </c>
      <c r="B409" s="3">
        <f>'Historical Prices'!C407/'Historical Prices'!C406-1</f>
        <v>2.4084736932075135E-3</v>
      </c>
      <c r="C409" s="3">
        <f>'Historical Prices'!B407/'Historical Prices'!B406-1</f>
        <v>1.7301200415405615E-2</v>
      </c>
      <c r="D409" s="3">
        <f>'Historical Prices'!D407/'Historical Prices'!D406-1</f>
        <v>1.496325325341763E-2</v>
      </c>
      <c r="E409" s="3">
        <f>'Historical Prices'!E407/'Historical Prices'!E406-1</f>
        <v>-2.2219797082353332E-2</v>
      </c>
      <c r="F409" s="3">
        <f>'Historical Prices'!F407/'Historical Prices'!F406-1</f>
        <v>-1.1702495002739122E-2</v>
      </c>
      <c r="G409" s="9">
        <f t="shared" si="36"/>
        <v>7.5528537859364826E-4</v>
      </c>
      <c r="H409" s="6">
        <f t="shared" si="37"/>
        <v>755.28537859364826</v>
      </c>
      <c r="I409" s="9">
        <f t="shared" si="28"/>
        <v>1.4543686793636943E-2</v>
      </c>
      <c r="J409">
        <f t="shared" si="29"/>
        <v>0</v>
      </c>
      <c r="K409" s="5">
        <f t="shared" si="30"/>
        <v>1.607362417413441E-2</v>
      </c>
      <c r="L409">
        <f t="shared" si="31"/>
        <v>0</v>
      </c>
      <c r="M409" s="9">
        <f t="shared" si="32"/>
        <v>2.4928888025889426E-2</v>
      </c>
      <c r="N409">
        <f t="shared" si="33"/>
        <v>0</v>
      </c>
      <c r="O409" s="5">
        <f t="shared" si="34"/>
        <v>2.3099488726376721E-2</v>
      </c>
      <c r="P409">
        <f t="shared" si="35"/>
        <v>0</v>
      </c>
    </row>
    <row r="410" spans="1:16" x14ac:dyDescent="0.25">
      <c r="A410" s="2">
        <f>'Historical Prices'!A408</f>
        <v>45708</v>
      </c>
      <c r="B410" s="3">
        <f>'Historical Prices'!C408/'Historical Prices'!C407-1</f>
        <v>-2.3216652862096954E-2</v>
      </c>
      <c r="C410" s="3">
        <f>'Historical Prices'!B408/'Historical Prices'!B407-1</f>
        <v>5.7843622678792617E-3</v>
      </c>
      <c r="D410" s="3">
        <f>'Historical Prices'!D408/'Historical Prices'!D407-1</f>
        <v>-9.2736326312936601E-3</v>
      </c>
      <c r="E410" s="3">
        <f>'Historical Prices'!E408/'Historical Prices'!E407-1</f>
        <v>7.9246840883309133E-3</v>
      </c>
      <c r="F410" s="3">
        <f>'Historical Prices'!F408/'Historical Prices'!F407-1</f>
        <v>2.9756434383064523E-2</v>
      </c>
      <c r="G410" s="9">
        <f t="shared" si="36"/>
        <v>1.2650650245953606E-3</v>
      </c>
      <c r="H410" s="6">
        <f t="shared" si="37"/>
        <v>1265.0650245953607</v>
      </c>
      <c r="I410" s="9">
        <f t="shared" si="28"/>
        <v>1.4543686793636943E-2</v>
      </c>
      <c r="J410">
        <f t="shared" si="29"/>
        <v>0</v>
      </c>
      <c r="K410" s="5">
        <f t="shared" si="30"/>
        <v>1.6078009203788334E-2</v>
      </c>
      <c r="L410">
        <f t="shared" si="31"/>
        <v>0</v>
      </c>
      <c r="M410" s="9">
        <f t="shared" si="32"/>
        <v>2.4928888025889426E-2</v>
      </c>
      <c r="N410">
        <f t="shared" si="33"/>
        <v>0</v>
      </c>
      <c r="O410" s="5">
        <f t="shared" si="34"/>
        <v>2.308664531000475E-2</v>
      </c>
      <c r="P410">
        <f t="shared" si="35"/>
        <v>0</v>
      </c>
    </row>
    <row r="411" spans="1:16" x14ac:dyDescent="0.25">
      <c r="A411" s="2">
        <f>'Historical Prices'!A409</f>
        <v>45709</v>
      </c>
      <c r="B411" s="3">
        <f>'Historical Prices'!C409/'Historical Prices'!C408-1</f>
        <v>3.2007080083003014E-3</v>
      </c>
      <c r="C411" s="3">
        <f>'Historical Prices'!B409/'Historical Prices'!B408-1</f>
        <v>-8.1105290291785259E-3</v>
      </c>
      <c r="D411" s="3">
        <f>'Historical Prices'!D409/'Historical Prices'!D408-1</f>
        <v>-1.3600512413462273E-2</v>
      </c>
      <c r="E411" s="3">
        <f>'Historical Prices'!E409/'Historical Prices'!E408-1</f>
        <v>-5.5612399815506697E-3</v>
      </c>
      <c r="F411" s="3">
        <f>'Historical Prices'!F409/'Historical Prices'!F408-1</f>
        <v>-5.9905994058919831E-2</v>
      </c>
      <c r="G411" s="9">
        <f t="shared" si="36"/>
        <v>-1.6507327623441766E-2</v>
      </c>
      <c r="H411" s="6">
        <f t="shared" si="37"/>
        <v>-16507.327623441764</v>
      </c>
      <c r="I411" s="9">
        <f t="shared" si="28"/>
        <v>1.4543686793636943E-2</v>
      </c>
      <c r="J411">
        <f t="shared" si="29"/>
        <v>1</v>
      </c>
      <c r="K411" s="5">
        <f t="shared" si="30"/>
        <v>1.6086373228564124E-2</v>
      </c>
      <c r="L411">
        <f t="shared" si="31"/>
        <v>1</v>
      </c>
      <c r="M411" s="9">
        <f t="shared" si="32"/>
        <v>2.4928888025889426E-2</v>
      </c>
      <c r="N411">
        <f t="shared" si="33"/>
        <v>0</v>
      </c>
      <c r="O411" s="5">
        <f t="shared" si="34"/>
        <v>2.3093419405332809E-2</v>
      </c>
      <c r="P411">
        <f t="shared" si="35"/>
        <v>0</v>
      </c>
    </row>
    <row r="412" spans="1:16" x14ac:dyDescent="0.25">
      <c r="A412" s="2">
        <f>'Historical Prices'!A410</f>
        <v>45712</v>
      </c>
      <c r="B412" s="3">
        <f>'Historical Prices'!C410/'Historical Prices'!C409-1</f>
        <v>-9.0990370551131683E-3</v>
      </c>
      <c r="C412" s="3">
        <f>'Historical Prices'!B410/'Historical Prices'!B409-1</f>
        <v>1.0902342267620213E-3</v>
      </c>
      <c r="D412" s="3">
        <f>'Historical Prices'!D410/'Historical Prices'!D409-1</f>
        <v>-1.1841501063064253E-2</v>
      </c>
      <c r="E412" s="3">
        <f>'Historical Prices'!E410/'Historical Prices'!E409-1</f>
        <v>-2.8044119843282811E-2</v>
      </c>
      <c r="F412" s="3">
        <f>'Historical Prices'!F410/'Historical Prices'!F409-1</f>
        <v>1.492873676085682E-2</v>
      </c>
      <c r="G412" s="9">
        <f t="shared" si="36"/>
        <v>-6.700485141846256E-3</v>
      </c>
      <c r="H412" s="6">
        <f t="shared" si="37"/>
        <v>-6700.4851418462558</v>
      </c>
      <c r="I412" s="9">
        <f t="shared" si="28"/>
        <v>1.4868317043426296E-2</v>
      </c>
      <c r="J412">
        <f t="shared" si="29"/>
        <v>0</v>
      </c>
      <c r="K412" s="5">
        <f t="shared" si="30"/>
        <v>1.6260786878722771E-2</v>
      </c>
      <c r="L412">
        <f t="shared" si="31"/>
        <v>0</v>
      </c>
      <c r="M412" s="9">
        <f t="shared" si="32"/>
        <v>2.4928888025889426E-2</v>
      </c>
      <c r="N412">
        <f t="shared" si="33"/>
        <v>0</v>
      </c>
      <c r="O412" s="5">
        <f t="shared" si="34"/>
        <v>2.3296124216946032E-2</v>
      </c>
      <c r="P412">
        <f t="shared" si="35"/>
        <v>0</v>
      </c>
    </row>
    <row r="413" spans="1:16" x14ac:dyDescent="0.25">
      <c r="A413" s="2">
        <f>'Historical Prices'!A411</f>
        <v>45713</v>
      </c>
      <c r="B413" s="3">
        <f>'Historical Prices'!C411/'Historical Prices'!C410-1</f>
        <v>3.1304044733948544E-3</v>
      </c>
      <c r="C413" s="3">
        <f>'Historical Prices'!B411/'Historical Prices'!B410-1</f>
        <v>-9.4057627910115738E-4</v>
      </c>
      <c r="D413" s="3">
        <f>'Historical Prices'!D411/'Historical Prices'!D410-1</f>
        <v>4.7605758020081712E-3</v>
      </c>
      <c r="E413" s="3">
        <f>'Historical Prices'!E411/'Historical Prices'!E410-1</f>
        <v>2.0407142769280906E-3</v>
      </c>
      <c r="F413" s="3">
        <f>'Historical Prices'!F411/'Historical Prices'!F410-1</f>
        <v>2.5339642228129122E-2</v>
      </c>
      <c r="G413" s="9">
        <f t="shared" si="36"/>
        <v>6.8375412735692575E-3</v>
      </c>
      <c r="H413" s="6">
        <f t="shared" si="37"/>
        <v>6837.5412735692571</v>
      </c>
      <c r="I413" s="9">
        <f t="shared" si="28"/>
        <v>1.4868317043426296E-2</v>
      </c>
      <c r="J413">
        <f t="shared" si="29"/>
        <v>0</v>
      </c>
      <c r="K413" s="5">
        <f t="shared" si="30"/>
        <v>1.6275770519003259E-2</v>
      </c>
      <c r="L413">
        <f t="shared" si="31"/>
        <v>0</v>
      </c>
      <c r="M413" s="9">
        <f t="shared" si="32"/>
        <v>2.4928888025889426E-2</v>
      </c>
      <c r="N413">
        <f t="shared" si="33"/>
        <v>0</v>
      </c>
      <c r="O413" s="5">
        <f t="shared" si="34"/>
        <v>2.3314271646232513E-2</v>
      </c>
      <c r="P413">
        <f t="shared" si="35"/>
        <v>0</v>
      </c>
    </row>
    <row r="414" spans="1:16" x14ac:dyDescent="0.25">
      <c r="A414" s="2">
        <f>'Historical Prices'!A412</f>
        <v>45715</v>
      </c>
      <c r="B414" s="3">
        <f>'Historical Prices'!C412/'Historical Prices'!C411-1</f>
        <v>1.0907348131034889E-2</v>
      </c>
      <c r="C414" s="3">
        <f>'Historical Prices'!B412/'Historical Prices'!B411-1</f>
        <v>7.5315126164965385E-3</v>
      </c>
      <c r="D414" s="3">
        <f>'Historical Prices'!D412/'Historical Prices'!D411-1</f>
        <v>-1.3887964206846792E-3</v>
      </c>
      <c r="E414" s="3">
        <f>'Historical Prices'!E412/'Historical Prices'!E411-1</f>
        <v>-1.9233152323689939E-3</v>
      </c>
      <c r="F414" s="3">
        <f>'Historical Prices'!F412/'Historical Prices'!F411-1</f>
        <v>-1.8467535797390355E-2</v>
      </c>
      <c r="G414" s="9">
        <f t="shared" si="36"/>
        <v>-5.5128065148134838E-4</v>
      </c>
      <c r="H414" s="6">
        <f t="shared" si="37"/>
        <v>-551.2806514813484</v>
      </c>
      <c r="I414" s="9">
        <f t="shared" si="28"/>
        <v>1.4868317043426296E-2</v>
      </c>
      <c r="J414">
        <f t="shared" si="29"/>
        <v>0</v>
      </c>
      <c r="K414" s="5">
        <f t="shared" si="30"/>
        <v>1.6271906012476422E-2</v>
      </c>
      <c r="L414">
        <f t="shared" si="31"/>
        <v>0</v>
      </c>
      <c r="M414" s="9">
        <f t="shared" si="32"/>
        <v>2.4928888025889426E-2</v>
      </c>
      <c r="N414">
        <f t="shared" si="33"/>
        <v>0</v>
      </c>
      <c r="O414" s="5">
        <f t="shared" si="34"/>
        <v>2.3302847369794707E-2</v>
      </c>
      <c r="P414">
        <f t="shared" si="35"/>
        <v>0</v>
      </c>
    </row>
    <row r="415" spans="1:16" x14ac:dyDescent="0.25">
      <c r="A415" s="2">
        <f>'Historical Prices'!A413</f>
        <v>45716</v>
      </c>
      <c r="B415" s="3">
        <f>'Historical Prices'!C413/'Historical Prices'!C412-1</f>
        <v>1.863944442320431E-2</v>
      </c>
      <c r="C415" s="3">
        <f>'Historical Prices'!B413/'Historical Prices'!B412-1</f>
        <v>-1.131110233610455E-3</v>
      </c>
      <c r="D415" s="3">
        <f>'Historical Prices'!D413/'Historical Prices'!D412-1</f>
        <v>-1.5010829513101842E-2</v>
      </c>
      <c r="E415" s="3">
        <f>'Historical Prices'!E413/'Historical Prices'!E412-1</f>
        <v>-4.3416715816219309E-2</v>
      </c>
      <c r="F415" s="3">
        <f>'Historical Prices'!F413/'Historical Prices'!F412-1</f>
        <v>-5.1878709250913313E-2</v>
      </c>
      <c r="G415" s="9">
        <f t="shared" si="36"/>
        <v>-1.7717288173247917E-2</v>
      </c>
      <c r="H415" s="6">
        <f t="shared" si="37"/>
        <v>-17717.288173247918</v>
      </c>
      <c r="I415" s="9">
        <f t="shared" si="28"/>
        <v>1.4868317043426296E-2</v>
      </c>
      <c r="J415">
        <f t="shared" si="29"/>
        <v>1</v>
      </c>
      <c r="K415" s="5">
        <f t="shared" si="30"/>
        <v>1.6277232877449459E-2</v>
      </c>
      <c r="L415">
        <f t="shared" si="31"/>
        <v>1</v>
      </c>
      <c r="M415" s="9">
        <f t="shared" si="32"/>
        <v>2.4928888025889426E-2</v>
      </c>
      <c r="N415">
        <f t="shared" si="33"/>
        <v>0</v>
      </c>
      <c r="O415" s="5">
        <f t="shared" si="34"/>
        <v>2.3308380229463754E-2</v>
      </c>
      <c r="P415">
        <f t="shared" si="35"/>
        <v>0</v>
      </c>
    </row>
    <row r="416" spans="1:16" x14ac:dyDescent="0.25">
      <c r="A416" s="2">
        <f>'Historical Prices'!A414</f>
        <v>45719</v>
      </c>
      <c r="B416" s="3">
        <f>'Historical Prices'!C414/'Historical Prices'!C413-1</f>
        <v>-1.7807618912381695E-2</v>
      </c>
      <c r="C416" s="3">
        <f>'Historical Prices'!B414/'Historical Prices'!B413-1</f>
        <v>-8.1729488858252042E-3</v>
      </c>
      <c r="D416" s="3">
        <f>'Historical Prices'!D414/'Historical Prices'!D413-1</f>
        <v>1.7439631707285574E-3</v>
      </c>
      <c r="E416" s="3">
        <f>'Historical Prices'!E414/'Historical Prices'!E413-1</f>
        <v>1.2383696239158803E-2</v>
      </c>
      <c r="F416" s="3">
        <f>'Historical Prices'!F414/'Historical Prices'!F413-1</f>
        <v>1.0366987410120432E-2</v>
      </c>
      <c r="G416" s="9">
        <f t="shared" si="36"/>
        <v>-5.7491573697862359E-4</v>
      </c>
      <c r="H416" s="6">
        <f t="shared" si="37"/>
        <v>-574.91573697862361</v>
      </c>
      <c r="I416" s="9">
        <f t="shared" si="28"/>
        <v>1.5180428710258936E-2</v>
      </c>
      <c r="J416">
        <f t="shared" si="29"/>
        <v>0</v>
      </c>
      <c r="K416" s="5">
        <f t="shared" si="30"/>
        <v>1.6425200112123898E-2</v>
      </c>
      <c r="L416">
        <f t="shared" si="31"/>
        <v>0</v>
      </c>
      <c r="M416" s="9">
        <f t="shared" si="32"/>
        <v>2.4928888025889426E-2</v>
      </c>
      <c r="N416">
        <f t="shared" si="33"/>
        <v>0</v>
      </c>
      <c r="O416" s="5">
        <f t="shared" si="34"/>
        <v>2.3496695809971987E-2</v>
      </c>
      <c r="P416">
        <f t="shared" si="35"/>
        <v>0</v>
      </c>
    </row>
    <row r="417" spans="1:16" x14ac:dyDescent="0.25">
      <c r="A417" s="2">
        <f>'Historical Prices'!A415</f>
        <v>45720</v>
      </c>
      <c r="B417" s="3">
        <f>'Historical Prices'!C415/'Historical Prices'!C414-1</f>
        <v>4.9659900600371731E-3</v>
      </c>
      <c r="C417" s="3">
        <f>'Historical Prices'!B415/'Historical Prices'!B414-1</f>
        <v>-5.410784241427713E-3</v>
      </c>
      <c r="D417" s="3">
        <f>'Historical Prices'!D415/'Historical Prices'!D414-1</f>
        <v>3.4820598022011762E-3</v>
      </c>
      <c r="E417" s="3">
        <f>'Historical Prices'!E415/'Historical Prices'!E414-1</f>
        <v>-1.1880961475985496E-2</v>
      </c>
      <c r="F417" s="3">
        <f>'Historical Prices'!F415/'Historical Prices'!F414-1</f>
        <v>5.5518628827933014E-4</v>
      </c>
      <c r="G417" s="9">
        <f t="shared" si="36"/>
        <v>-1.238554784433416E-3</v>
      </c>
      <c r="H417" s="6">
        <f t="shared" si="37"/>
        <v>-1238.554784433416</v>
      </c>
      <c r="I417" s="9">
        <f t="shared" si="28"/>
        <v>1.5180428710258936E-2</v>
      </c>
      <c r="J417">
        <f t="shared" si="29"/>
        <v>0</v>
      </c>
      <c r="K417" s="5">
        <f t="shared" si="30"/>
        <v>1.6436573366257649E-2</v>
      </c>
      <c r="L417">
        <f t="shared" si="31"/>
        <v>0</v>
      </c>
      <c r="M417" s="9">
        <f t="shared" si="32"/>
        <v>2.4928888025889426E-2</v>
      </c>
      <c r="N417">
        <f t="shared" si="33"/>
        <v>0</v>
      </c>
      <c r="O417" s="5">
        <f t="shared" si="34"/>
        <v>2.3507853156279686E-2</v>
      </c>
      <c r="P417">
        <f t="shared" si="35"/>
        <v>0</v>
      </c>
    </row>
    <row r="418" spans="1:16" x14ac:dyDescent="0.25">
      <c r="A418" s="2">
        <f>'Historical Prices'!A416</f>
        <v>45721</v>
      </c>
      <c r="B418" s="3">
        <f>'Historical Prices'!C416/'Historical Prices'!C415-1</f>
        <v>-1.1695853099896736E-2</v>
      </c>
      <c r="C418" s="3">
        <f>'Historical Prices'!B416/'Historical Prices'!B415-1</f>
        <v>1.262739111885991E-2</v>
      </c>
      <c r="D418" s="3">
        <f>'Historical Prices'!D416/'Historical Prices'!D415-1</f>
        <v>4.3787221059521375E-3</v>
      </c>
      <c r="E418" s="3">
        <f>'Historical Prices'!E416/'Historical Prices'!E415-1</f>
        <v>1.3741580020455224E-2</v>
      </c>
      <c r="F418" s="3">
        <f>'Historical Prices'!F416/'Historical Prices'!F415-1</f>
        <v>4.3335123610996451E-2</v>
      </c>
      <c r="G418" s="9">
        <f t="shared" si="36"/>
        <v>1.1756731699340122E-2</v>
      </c>
      <c r="H418" s="6">
        <f t="shared" si="37"/>
        <v>11756.731699340122</v>
      </c>
      <c r="I418" s="9">
        <f t="shared" si="28"/>
        <v>1.5180428710258936E-2</v>
      </c>
      <c r="J418">
        <f t="shared" si="29"/>
        <v>0</v>
      </c>
      <c r="K418" s="5">
        <f t="shared" si="30"/>
        <v>1.6372596718087582E-2</v>
      </c>
      <c r="L418">
        <f t="shared" si="31"/>
        <v>0</v>
      </c>
      <c r="M418" s="9">
        <f t="shared" si="32"/>
        <v>2.4928888025889426E-2</v>
      </c>
      <c r="N418">
        <f t="shared" si="33"/>
        <v>0</v>
      </c>
      <c r="O418" s="5">
        <f t="shared" si="34"/>
        <v>2.3430943639567086E-2</v>
      </c>
      <c r="P418">
        <f t="shared" si="35"/>
        <v>0</v>
      </c>
    </row>
    <row r="419" spans="1:16" x14ac:dyDescent="0.25">
      <c r="A419" s="2">
        <f>'Historical Prices'!A417</f>
        <v>45722</v>
      </c>
      <c r="B419" s="3">
        <f>'Historical Prices'!C417/'Historical Prices'!C416-1</f>
        <v>7.1002315147294937E-4</v>
      </c>
      <c r="C419" s="3">
        <f>'Historical Prices'!B417/'Historical Prices'!B416-1</f>
        <v>1.9370052357031042E-2</v>
      </c>
      <c r="D419" s="3">
        <f>'Historical Prices'!D417/'Historical Prices'!D416-1</f>
        <v>1.9331360435947964E-3</v>
      </c>
      <c r="E419" s="3">
        <f>'Historical Prices'!E417/'Historical Prices'!E416-1</f>
        <v>2.541643818906314E-3</v>
      </c>
      <c r="F419" s="3">
        <f>'Historical Prices'!F417/'Historical Prices'!F416-1</f>
        <v>5.7947808118274935E-3</v>
      </c>
      <c r="G419" s="9">
        <f t="shared" si="36"/>
        <v>5.7450253537167095E-3</v>
      </c>
      <c r="H419" s="6">
        <f t="shared" si="37"/>
        <v>5745.0253537167091</v>
      </c>
      <c r="I419" s="9">
        <f t="shared" si="28"/>
        <v>1.5180428710258936E-2</v>
      </c>
      <c r="J419">
        <f t="shared" si="29"/>
        <v>0</v>
      </c>
      <c r="K419" s="5">
        <f t="shared" si="30"/>
        <v>1.6377109791974209E-2</v>
      </c>
      <c r="L419">
        <f t="shared" si="31"/>
        <v>0</v>
      </c>
      <c r="M419" s="9">
        <f t="shared" si="32"/>
        <v>2.4928888025889426E-2</v>
      </c>
      <c r="N419">
        <f t="shared" si="33"/>
        <v>0</v>
      </c>
      <c r="O419" s="5">
        <f t="shared" si="34"/>
        <v>2.3450216799362912E-2</v>
      </c>
      <c r="P419">
        <f t="shared" si="35"/>
        <v>0</v>
      </c>
    </row>
    <row r="420" spans="1:16" x14ac:dyDescent="0.25">
      <c r="A420" s="2">
        <f>'Historical Prices'!A418</f>
        <v>45723</v>
      </c>
      <c r="B420" s="3">
        <f>'Historical Prices'!C418/'Historical Prices'!C417-1</f>
        <v>-1.1529596908068651E-3</v>
      </c>
      <c r="C420" s="3">
        <f>'Historical Prices'!B418/'Historical Prices'!B417-1</f>
        <v>3.4328924158182339E-3</v>
      </c>
      <c r="D420" s="3">
        <f>'Historical Prices'!D418/'Historical Prices'!D417-1</f>
        <v>-2.8734862512114212E-3</v>
      </c>
      <c r="E420" s="3">
        <f>'Historical Prices'!E418/'Historical Prices'!E417-1</f>
        <v>-1.7396631172516219E-2</v>
      </c>
      <c r="F420" s="3">
        <f>'Historical Prices'!F418/'Historical Prices'!F417-1</f>
        <v>-5.3055360135689789E-3</v>
      </c>
      <c r="G420" s="9">
        <f t="shared" si="36"/>
        <v>-4.4942279061406755E-3</v>
      </c>
      <c r="H420" s="6">
        <f t="shared" si="37"/>
        <v>-4494.2279061406753</v>
      </c>
      <c r="I420" s="9">
        <f t="shared" si="28"/>
        <v>1.5180428710258936E-2</v>
      </c>
      <c r="J420">
        <f t="shared" si="29"/>
        <v>0</v>
      </c>
      <c r="K420" s="5">
        <f t="shared" si="30"/>
        <v>1.6340636048843275E-2</v>
      </c>
      <c r="L420">
        <f t="shared" si="31"/>
        <v>0</v>
      </c>
      <c r="M420" s="9">
        <f t="shared" si="32"/>
        <v>2.4928888025889426E-2</v>
      </c>
      <c r="N420">
        <f t="shared" si="33"/>
        <v>0</v>
      </c>
      <c r="O420" s="5">
        <f t="shared" si="34"/>
        <v>2.3378820637377652E-2</v>
      </c>
      <c r="P420">
        <f t="shared" si="35"/>
        <v>0</v>
      </c>
    </row>
    <row r="421" spans="1:16" x14ac:dyDescent="0.25">
      <c r="A421" s="2">
        <f>'Historical Prices'!A419</f>
        <v>45726</v>
      </c>
      <c r="B421" s="3">
        <f>'Historical Prices'!C419/'Historical Prices'!C418-1</f>
        <v>-1.0359876729750805E-3</v>
      </c>
      <c r="C421" s="3">
        <f>'Historical Prices'!B419/'Historical Prices'!B418-1</f>
        <v>-1.7346118156507107E-3</v>
      </c>
      <c r="D421" s="3">
        <f>'Historical Prices'!D419/'Historical Prices'!D418-1</f>
        <v>2.4696482477337689E-4</v>
      </c>
      <c r="E421" s="3">
        <f>'Historical Prices'!E419/'Historical Prices'!E418-1</f>
        <v>9.1637266456341404E-3</v>
      </c>
      <c r="F421" s="3">
        <f>'Historical Prices'!F419/'Historical Prices'!F418-1</f>
        <v>-9.2563326696770698E-3</v>
      </c>
      <c r="G421" s="9">
        <f t="shared" si="36"/>
        <v>-5.7956601763629509E-4</v>
      </c>
      <c r="H421" s="6">
        <f t="shared" si="37"/>
        <v>-579.5660176362951</v>
      </c>
      <c r="I421" s="9">
        <f t="shared" si="28"/>
        <v>1.5180428710258936E-2</v>
      </c>
      <c r="J421">
        <f t="shared" si="29"/>
        <v>0</v>
      </c>
      <c r="K421" s="5">
        <f t="shared" si="30"/>
        <v>1.6341771321847037E-2</v>
      </c>
      <c r="L421">
        <f t="shared" si="31"/>
        <v>0</v>
      </c>
      <c r="M421" s="9">
        <f t="shared" si="32"/>
        <v>2.4928888025889426E-2</v>
      </c>
      <c r="N421">
        <f t="shared" si="33"/>
        <v>0</v>
      </c>
      <c r="O421" s="5">
        <f t="shared" si="34"/>
        <v>2.3380166329754207E-2</v>
      </c>
      <c r="P421">
        <f t="shared" si="35"/>
        <v>0</v>
      </c>
    </row>
    <row r="422" spans="1:16" x14ac:dyDescent="0.25">
      <c r="A422" s="2">
        <f>'Historical Prices'!A420</f>
        <v>45727</v>
      </c>
      <c r="B422" s="3">
        <f>'Historical Prices'!C420/'Historical Prices'!C419-1</f>
        <v>-1.1852244257440914E-3</v>
      </c>
      <c r="C422" s="3">
        <f>'Historical Prices'!B420/'Historical Prices'!B419-1</f>
        <v>-9.847019040820526E-3</v>
      </c>
      <c r="D422" s="3">
        <f>'Historical Prices'!D420/'Historical Prices'!D419-1</f>
        <v>2.5147126306737544E-2</v>
      </c>
      <c r="E422" s="3">
        <f>'Historical Prices'!E420/'Historical Prices'!E419-1</f>
        <v>-2.3421277045332478E-2</v>
      </c>
      <c r="F422" s="3">
        <f>'Historical Prices'!F420/'Historical Prices'!F419-1</f>
        <v>-2.1090871146238088E-2</v>
      </c>
      <c r="G422" s="9">
        <f t="shared" si="36"/>
        <v>-4.7127498707818698E-3</v>
      </c>
      <c r="H422" s="6">
        <f t="shared" si="37"/>
        <v>-4712.7498707818695</v>
      </c>
      <c r="I422" s="9">
        <f t="shared" si="28"/>
        <v>1.5180428710258936E-2</v>
      </c>
      <c r="J422">
        <f t="shared" si="29"/>
        <v>0</v>
      </c>
      <c r="K422" s="5">
        <f t="shared" si="30"/>
        <v>1.6332493615282623E-2</v>
      </c>
      <c r="L422">
        <f t="shared" si="31"/>
        <v>0</v>
      </c>
      <c r="M422" s="9">
        <f t="shared" si="32"/>
        <v>2.4928888025889426E-2</v>
      </c>
      <c r="N422">
        <f t="shared" si="33"/>
        <v>0</v>
      </c>
      <c r="O422" s="5">
        <f t="shared" si="34"/>
        <v>2.3369923119525304E-2</v>
      </c>
      <c r="P422">
        <f t="shared" si="35"/>
        <v>0</v>
      </c>
    </row>
    <row r="423" spans="1:16" x14ac:dyDescent="0.25">
      <c r="A423" s="2">
        <f>'Historical Prices'!A421</f>
        <v>45728</v>
      </c>
      <c r="B423" s="3">
        <f>'Historical Prices'!C421/'Historical Prices'!C420-1</f>
        <v>1.5218169427724249E-2</v>
      </c>
      <c r="C423" s="3">
        <f>'Historical Prices'!B421/'Historical Prices'!B420-1</f>
        <v>-1.4088605553257194E-2</v>
      </c>
      <c r="D423" s="3">
        <f>'Historical Prices'!D421/'Historical Prices'!D420-1</f>
        <v>-1.1642941686984543E-3</v>
      </c>
      <c r="E423" s="3">
        <f>'Historical Prices'!E421/'Historical Prices'!E420-1</f>
        <v>-4.257942110175128E-2</v>
      </c>
      <c r="F423" s="3">
        <f>'Historical Prices'!F421/'Historical Prices'!F420-1</f>
        <v>2.9105233330197766E-3</v>
      </c>
      <c r="G423" s="9">
        <f t="shared" si="36"/>
        <v>-6.9388827065747435E-3</v>
      </c>
      <c r="H423" s="6">
        <f t="shared" si="37"/>
        <v>-6938.8827065747437</v>
      </c>
      <c r="I423" s="9">
        <f t="shared" si="28"/>
        <v>1.5180428710258936E-2</v>
      </c>
      <c r="J423">
        <f t="shared" si="29"/>
        <v>0</v>
      </c>
      <c r="K423" s="5">
        <f t="shared" si="30"/>
        <v>1.6371005814749432E-2</v>
      </c>
      <c r="L423">
        <f t="shared" si="31"/>
        <v>0</v>
      </c>
      <c r="M423" s="9">
        <f t="shared" si="32"/>
        <v>2.4928888025889426E-2</v>
      </c>
      <c r="N423">
        <f t="shared" si="33"/>
        <v>0</v>
      </c>
      <c r="O423" s="5">
        <f t="shared" si="34"/>
        <v>2.3399023847829461E-2</v>
      </c>
      <c r="P423">
        <f t="shared" si="35"/>
        <v>0</v>
      </c>
    </row>
    <row r="424" spans="1:16" x14ac:dyDescent="0.25">
      <c r="A424" s="2">
        <f>'Historical Prices'!A422</f>
        <v>45729</v>
      </c>
      <c r="B424" s="3">
        <f>'Historical Prices'!C422/'Historical Prices'!C421-1</f>
        <v>-2.6590943835551606E-3</v>
      </c>
      <c r="C424" s="3">
        <f>'Historical Prices'!B422/'Historical Prices'!B421-1</f>
        <v>-9.8896061678099834E-4</v>
      </c>
      <c r="D424" s="3">
        <f>'Historical Prices'!D422/'Historical Prices'!D421-1</f>
        <v>4.9037332953059121E-3</v>
      </c>
      <c r="E424" s="3">
        <f>'Historical Prices'!E422/'Historical Prices'!E421-1</f>
        <v>-6.914539079963089E-3</v>
      </c>
      <c r="F424" s="3">
        <f>'Historical Prices'!F422/'Historical Prices'!F421-1</f>
        <v>-3.6935096505322784E-3</v>
      </c>
      <c r="G424" s="9">
        <f t="shared" si="36"/>
        <v>-1.6101044339535625E-3</v>
      </c>
      <c r="H424" s="6">
        <f t="shared" si="37"/>
        <v>-1610.1044339535626</v>
      </c>
      <c r="I424" s="9">
        <f t="shared" si="28"/>
        <v>1.5180428710258936E-2</v>
      </c>
      <c r="J424">
        <f t="shared" si="29"/>
        <v>0</v>
      </c>
      <c r="K424" s="5">
        <f t="shared" si="30"/>
        <v>1.6331059915015669E-2</v>
      </c>
      <c r="L424">
        <f t="shared" si="31"/>
        <v>0</v>
      </c>
      <c r="M424" s="9">
        <f t="shared" si="32"/>
        <v>2.4928888025889426E-2</v>
      </c>
      <c r="N424">
        <f t="shared" si="33"/>
        <v>0</v>
      </c>
      <c r="O424" s="5">
        <f t="shared" si="34"/>
        <v>2.3349082222562004E-2</v>
      </c>
      <c r="P424">
        <f t="shared" si="35"/>
        <v>0</v>
      </c>
    </row>
    <row r="425" spans="1:16" x14ac:dyDescent="0.25">
      <c r="A425" s="2">
        <f>'Historical Prices'!A423</f>
        <v>45733</v>
      </c>
      <c r="B425" s="3">
        <f>'Historical Prices'!C423/'Historical Prices'!C422-1</f>
        <v>2.2265978588431601E-3</v>
      </c>
      <c r="C425" s="3">
        <f>'Historical Prices'!B423/'Historical Prices'!B422-1</f>
        <v>2.3708200800762969E-2</v>
      </c>
      <c r="D425" s="3">
        <f>'Historical Prices'!D423/'Historical Prices'!D422-1</f>
        <v>1.5159505108839788E-2</v>
      </c>
      <c r="E425" s="3">
        <f>'Historical Prices'!E423/'Historical Prices'!E422-1</f>
        <v>6.4564196751621949E-3</v>
      </c>
      <c r="F425" s="3">
        <f>'Historical Prices'!F423/'Historical Prices'!F422-1</f>
        <v>2.3321309644191546E-2</v>
      </c>
      <c r="G425" s="9">
        <f t="shared" si="36"/>
        <v>1.3983432663234322E-2</v>
      </c>
      <c r="H425" s="6">
        <f t="shared" si="37"/>
        <v>13983.432663234322</v>
      </c>
      <c r="I425" s="9">
        <f t="shared" si="28"/>
        <v>1.5180428710258936E-2</v>
      </c>
      <c r="J425">
        <f t="shared" si="29"/>
        <v>0</v>
      </c>
      <c r="K425" s="5">
        <f t="shared" si="30"/>
        <v>1.628526217490121E-2</v>
      </c>
      <c r="L425">
        <f t="shared" si="31"/>
        <v>0</v>
      </c>
      <c r="M425" s="9">
        <f t="shared" si="32"/>
        <v>2.4928888025889426E-2</v>
      </c>
      <c r="N425">
        <f t="shared" si="33"/>
        <v>0</v>
      </c>
      <c r="O425" s="5">
        <f t="shared" si="34"/>
        <v>2.3294547041211436E-2</v>
      </c>
      <c r="P425">
        <f t="shared" si="35"/>
        <v>0</v>
      </c>
    </row>
    <row r="426" spans="1:16" x14ac:dyDescent="0.25">
      <c r="A426" s="2">
        <f>'Historical Prices'!A424</f>
        <v>45734</v>
      </c>
      <c r="B426" s="3">
        <f>'Historical Prices'!C424/'Historical Prices'!C423-1</f>
        <v>0</v>
      </c>
      <c r="C426" s="3">
        <f>'Historical Prices'!B424/'Historical Prices'!B423-1</f>
        <v>0</v>
      </c>
      <c r="D426" s="3">
        <f>'Historical Prices'!D424/'Historical Prices'!D423-1</f>
        <v>0</v>
      </c>
      <c r="E426" s="3">
        <f>'Historical Prices'!E424/'Historical Prices'!E423-1</f>
        <v>0</v>
      </c>
      <c r="F426" s="3">
        <f>'Historical Prices'!F424/'Historical Prices'!F423-1</f>
        <v>0</v>
      </c>
      <c r="G426" s="9">
        <f t="shared" si="36"/>
        <v>0</v>
      </c>
      <c r="H426" s="6">
        <f t="shared" si="37"/>
        <v>0</v>
      </c>
      <c r="I426" s="9">
        <f t="shared" si="28"/>
        <v>1.5180428710258936E-2</v>
      </c>
      <c r="J426">
        <f t="shared" si="29"/>
        <v>0</v>
      </c>
      <c r="K426" s="5">
        <f t="shared" si="30"/>
        <v>1.6299481829492195E-2</v>
      </c>
      <c r="L426">
        <f t="shared" si="31"/>
        <v>0</v>
      </c>
      <c r="M426" s="9">
        <f t="shared" si="32"/>
        <v>2.4928888025889426E-2</v>
      </c>
      <c r="N426">
        <f t="shared" si="33"/>
        <v>0</v>
      </c>
      <c r="O426" s="5">
        <f t="shared" si="34"/>
        <v>2.3330469375892102E-2</v>
      </c>
      <c r="P426">
        <f t="shared" si="35"/>
        <v>0</v>
      </c>
    </row>
    <row r="427" spans="1:16" x14ac:dyDescent="0.25">
      <c r="A427" s="2">
        <f>'Historical Prices'!A425</f>
        <v>45735</v>
      </c>
      <c r="B427" s="3">
        <f>'Historical Prices'!C425/'Historical Prices'!C424-1</f>
        <v>1.9703017582250348E-2</v>
      </c>
      <c r="C427" s="3">
        <f>'Historical Prices'!B425/'Historical Prices'!B424-1</f>
        <v>1.7308820052021723E-2</v>
      </c>
      <c r="D427" s="3">
        <f>'Historical Prices'!D425/'Historical Prices'!D424-1</f>
        <v>3.4751584267424862E-2</v>
      </c>
      <c r="E427" s="3">
        <f>'Historical Prices'!E425/'Historical Prices'!E424-1</f>
        <v>-2.2012680447408561E-3</v>
      </c>
      <c r="F427" s="3">
        <f>'Historical Prices'!F425/'Historical Prices'!F424-1</f>
        <v>3.1033436966887651E-2</v>
      </c>
      <c r="G427" s="9">
        <f t="shared" si="36"/>
        <v>2.084568261711826E-2</v>
      </c>
      <c r="H427" s="6">
        <f t="shared" si="37"/>
        <v>20845.682617118258</v>
      </c>
      <c r="I427" s="9">
        <f t="shared" si="28"/>
        <v>1.5180428710258936E-2</v>
      </c>
      <c r="J427">
        <f t="shared" si="29"/>
        <v>0</v>
      </c>
      <c r="K427" s="5">
        <f t="shared" si="30"/>
        <v>1.6264921477542844E-2</v>
      </c>
      <c r="L427">
        <f t="shared" si="31"/>
        <v>0</v>
      </c>
      <c r="M427" s="9">
        <f t="shared" si="32"/>
        <v>2.4928888025889426E-2</v>
      </c>
      <c r="N427">
        <f t="shared" si="33"/>
        <v>0</v>
      </c>
      <c r="O427" s="5">
        <f t="shared" si="34"/>
        <v>2.329080292396073E-2</v>
      </c>
      <c r="P427">
        <f t="shared" si="35"/>
        <v>0</v>
      </c>
    </row>
    <row r="428" spans="1:16" x14ac:dyDescent="0.25">
      <c r="A428" s="2">
        <f>'Historical Prices'!A426</f>
        <v>45736</v>
      </c>
      <c r="B428" s="3">
        <f>'Historical Prices'!C426/'Historical Prices'!C425-1</f>
        <v>1.4133364946243621E-2</v>
      </c>
      <c r="C428" s="3">
        <f>'Historical Prices'!B426/'Historical Prices'!B425-1</f>
        <v>2.1862075650145307E-3</v>
      </c>
      <c r="D428" s="3">
        <f>'Historical Prices'!D426/'Historical Prices'!D425-1</f>
        <v>6.5494545317477115E-3</v>
      </c>
      <c r="E428" s="3">
        <f>'Historical Prices'!E426/'Historical Prices'!E425-1</f>
        <v>1.8278645179554909E-2</v>
      </c>
      <c r="F428" s="3">
        <f>'Historical Prices'!F426/'Historical Prices'!F425-1</f>
        <v>1.3983009854819262E-2</v>
      </c>
      <c r="G428" s="9">
        <f t="shared" si="36"/>
        <v>1.0937497376993592E-2</v>
      </c>
      <c r="H428" s="6">
        <f t="shared" si="37"/>
        <v>10937.497376993591</v>
      </c>
      <c r="I428" s="9">
        <f t="shared" si="28"/>
        <v>1.5180428710258936E-2</v>
      </c>
      <c r="J428">
        <f t="shared" si="29"/>
        <v>0</v>
      </c>
      <c r="K428" s="5">
        <f t="shared" si="30"/>
        <v>1.6323441815955242E-2</v>
      </c>
      <c r="L428">
        <f t="shared" si="31"/>
        <v>0</v>
      </c>
      <c r="M428" s="9">
        <f t="shared" si="32"/>
        <v>2.4928888025889426E-2</v>
      </c>
      <c r="N428">
        <f t="shared" si="33"/>
        <v>0</v>
      </c>
      <c r="O428" s="5">
        <f t="shared" si="34"/>
        <v>2.3401383870188412E-2</v>
      </c>
      <c r="P428">
        <f t="shared" si="35"/>
        <v>0</v>
      </c>
    </row>
    <row r="429" spans="1:16" x14ac:dyDescent="0.25">
      <c r="A429" s="2">
        <f>'Historical Prices'!A427</f>
        <v>45737</v>
      </c>
      <c r="B429" s="3">
        <f>'Historical Prices'!C427/'Historical Prices'!C426-1</f>
        <v>9.0452404230734196E-4</v>
      </c>
      <c r="C429" s="3">
        <f>'Historical Prices'!B427/'Historical Prices'!B426-1</f>
        <v>1.4985604546984721E-2</v>
      </c>
      <c r="D429" s="3">
        <f>'Historical Prices'!D427/'Historical Prices'!D426-1</f>
        <v>1.6191354055516305E-2</v>
      </c>
      <c r="E429" s="3">
        <f>'Historical Prices'!E427/'Historical Prices'!E426-1</f>
        <v>-1.4236630209562784E-2</v>
      </c>
      <c r="F429" s="3">
        <f>'Historical Prices'!F427/'Historical Prices'!F426-1</f>
        <v>-9.2818868271951072E-3</v>
      </c>
      <c r="G429" s="9">
        <f t="shared" si="36"/>
        <v>2.2299187135646353E-3</v>
      </c>
      <c r="H429" s="6">
        <f t="shared" si="37"/>
        <v>2229.9187135646353</v>
      </c>
      <c r="I429" s="9">
        <f t="shared" si="28"/>
        <v>1.5180428710258936E-2</v>
      </c>
      <c r="J429">
        <f t="shared" si="29"/>
        <v>0</v>
      </c>
      <c r="K429" s="5">
        <f t="shared" si="30"/>
        <v>1.6178371715066763E-2</v>
      </c>
      <c r="L429">
        <f t="shared" si="31"/>
        <v>0</v>
      </c>
      <c r="M429" s="9">
        <f t="shared" si="32"/>
        <v>2.4928888025889426E-2</v>
      </c>
      <c r="N429">
        <f t="shared" si="33"/>
        <v>0</v>
      </c>
      <c r="O429" s="5">
        <f t="shared" si="34"/>
        <v>2.3238525090877444E-2</v>
      </c>
      <c r="P429">
        <f t="shared" si="35"/>
        <v>0</v>
      </c>
    </row>
    <row r="430" spans="1:16" x14ac:dyDescent="0.25">
      <c r="A430" s="2">
        <f>'Historical Prices'!A428</f>
        <v>45740</v>
      </c>
      <c r="B430" s="3">
        <f>'Historical Prices'!C428/'Historical Prices'!C427-1</f>
        <v>1.6748160813885749E-2</v>
      </c>
      <c r="C430" s="3">
        <f>'Historical Prices'!B428/'Historical Prices'!B427-1</f>
        <v>2.5884117022090258E-2</v>
      </c>
      <c r="D430" s="3">
        <f>'Historical Prices'!D428/'Historical Prices'!D427-1</f>
        <v>1.1205441875285382E-2</v>
      </c>
      <c r="E430" s="3">
        <f>'Historical Prices'!E428/'Historical Prices'!E427-1</f>
        <v>1.2561693800083873E-4</v>
      </c>
      <c r="F430" s="3">
        <f>'Historical Prices'!F428/'Historical Prices'!F427-1</f>
        <v>-9.6899737400673036E-3</v>
      </c>
      <c r="G430" s="9">
        <f t="shared" si="36"/>
        <v>9.0028275365886881E-3</v>
      </c>
      <c r="H430" s="6">
        <f t="shared" si="37"/>
        <v>9002.8275365886875</v>
      </c>
      <c r="I430" s="9">
        <f t="shared" si="28"/>
        <v>1.5180428710258936E-2</v>
      </c>
      <c r="J430">
        <f t="shared" si="29"/>
        <v>0</v>
      </c>
      <c r="K430" s="5">
        <f t="shared" si="30"/>
        <v>1.6183625409391222E-2</v>
      </c>
      <c r="L430">
        <f t="shared" si="31"/>
        <v>0</v>
      </c>
      <c r="M430" s="9">
        <f t="shared" si="32"/>
        <v>2.4928888025889426E-2</v>
      </c>
      <c r="N430">
        <f t="shared" si="33"/>
        <v>0</v>
      </c>
      <c r="O430" s="5">
        <f t="shared" si="34"/>
        <v>2.3242383842555038E-2</v>
      </c>
      <c r="P430">
        <f t="shared" si="35"/>
        <v>0</v>
      </c>
    </row>
    <row r="431" spans="1:16" x14ac:dyDescent="0.25">
      <c r="A431" s="2">
        <f>'Historical Prices'!A429</f>
        <v>45741</v>
      </c>
      <c r="B431" s="3">
        <f>'Historical Prices'!C429/'Historical Prices'!C428-1</f>
        <v>1.1916594944769487E-2</v>
      </c>
      <c r="C431" s="3">
        <f>'Historical Prices'!B429/'Historical Prices'!B428-1</f>
        <v>1.8855255528968051E-2</v>
      </c>
      <c r="D431" s="3">
        <f>'Historical Prices'!D429/'Historical Prices'!D428-1</f>
        <v>-1.0639565901107484E-2</v>
      </c>
      <c r="E431" s="3">
        <f>'Historical Prices'!E429/'Historical Prices'!E428-1</f>
        <v>2.2413922090519289E-2</v>
      </c>
      <c r="F431" s="3">
        <f>'Historical Prices'!F429/'Historical Prices'!F428-1</f>
        <v>-1.3947488402561881E-2</v>
      </c>
      <c r="G431" s="9">
        <f t="shared" si="36"/>
        <v>4.9927855298118069E-3</v>
      </c>
      <c r="H431" s="6">
        <f t="shared" si="37"/>
        <v>4992.7855298118066</v>
      </c>
      <c r="I431" s="9">
        <f t="shared" si="28"/>
        <v>1.5180428710258936E-2</v>
      </c>
      <c r="J431">
        <f t="shared" si="29"/>
        <v>0</v>
      </c>
      <c r="K431" s="5">
        <f t="shared" si="30"/>
        <v>1.6122867340825284E-2</v>
      </c>
      <c r="L431">
        <f t="shared" si="31"/>
        <v>0</v>
      </c>
      <c r="M431" s="9">
        <f t="shared" si="32"/>
        <v>2.4928888025889426E-2</v>
      </c>
      <c r="N431">
        <f t="shared" si="33"/>
        <v>0</v>
      </c>
      <c r="O431" s="5">
        <f t="shared" si="34"/>
        <v>2.3182591582933079E-2</v>
      </c>
      <c r="P431">
        <f t="shared" si="35"/>
        <v>0</v>
      </c>
    </row>
    <row r="432" spans="1:16" x14ac:dyDescent="0.25">
      <c r="A432" s="2">
        <f>'Historical Prices'!A430</f>
        <v>45742</v>
      </c>
      <c r="B432" s="3">
        <f>'Historical Prices'!C430/'Historical Prices'!C429-1</f>
        <v>-8.1801980131023244E-3</v>
      </c>
      <c r="C432" s="3">
        <f>'Historical Prices'!B430/'Historical Prices'!B429-1</f>
        <v>-1.9936637290298931E-2</v>
      </c>
      <c r="D432" s="3">
        <f>'Historical Prices'!D430/'Historical Prices'!D429-1</f>
        <v>-5.8048450210330671E-3</v>
      </c>
      <c r="E432" s="3">
        <f>'Historical Prices'!E430/'Historical Prices'!E429-1</f>
        <v>-1.780833777650781E-2</v>
      </c>
      <c r="F432" s="3">
        <f>'Historical Prices'!F430/'Historical Prices'!F429-1</f>
        <v>2.2843528465288365E-3</v>
      </c>
      <c r="G432" s="9">
        <f t="shared" si="36"/>
        <v>-9.5582406722861651E-3</v>
      </c>
      <c r="H432" s="6">
        <f t="shared" si="37"/>
        <v>-9558.2406722861651</v>
      </c>
      <c r="I432" s="9">
        <f t="shared" si="28"/>
        <v>1.5180428710258936E-2</v>
      </c>
      <c r="J432">
        <f t="shared" si="29"/>
        <v>0</v>
      </c>
      <c r="K432" s="5">
        <f t="shared" si="30"/>
        <v>1.6068186657171281E-2</v>
      </c>
      <c r="L432">
        <f t="shared" si="31"/>
        <v>0</v>
      </c>
      <c r="M432" s="9">
        <f t="shared" si="32"/>
        <v>2.4928888025889426E-2</v>
      </c>
      <c r="N432">
        <f t="shared" si="33"/>
        <v>0</v>
      </c>
      <c r="O432" s="5">
        <f t="shared" si="34"/>
        <v>2.3123590792500912E-2</v>
      </c>
      <c r="P432">
        <f t="shared" si="35"/>
        <v>0</v>
      </c>
    </row>
    <row r="433" spans="1:16" x14ac:dyDescent="0.25">
      <c r="A433" s="2">
        <f>'Historical Prices'!A431</f>
        <v>45743</v>
      </c>
      <c r="B433" s="3">
        <f>'Historical Prices'!C431/'Historical Prices'!C430-1</f>
        <v>1.0406488805899228E-2</v>
      </c>
      <c r="C433" s="3">
        <f>'Historical Prices'!B431/'Historical Prices'!B430-1</f>
        <v>1.9155919368696317E-3</v>
      </c>
      <c r="D433" s="3">
        <f>'Historical Prices'!D431/'Historical Prices'!D430-1</f>
        <v>5.6142068591014116E-4</v>
      </c>
      <c r="E433" s="3">
        <f>'Historical Prices'!E431/'Historical Prices'!E430-1</f>
        <v>2.5634763861051013E-3</v>
      </c>
      <c r="F433" s="3">
        <f>'Historical Prices'!F431/'Historical Prices'!F430-1</f>
        <v>-3.3731041309302823E-3</v>
      </c>
      <c r="G433" s="9">
        <f t="shared" si="36"/>
        <v>2.4930246761162133E-3</v>
      </c>
      <c r="H433" s="6">
        <f t="shared" si="37"/>
        <v>2493.0246761162134</v>
      </c>
      <c r="I433" s="9">
        <f t="shared" si="28"/>
        <v>1.5180428710258936E-2</v>
      </c>
      <c r="J433">
        <f t="shared" si="29"/>
        <v>0</v>
      </c>
      <c r="K433" s="5">
        <f t="shared" si="30"/>
        <v>1.6154428588053358E-2</v>
      </c>
      <c r="L433">
        <f t="shared" si="31"/>
        <v>0</v>
      </c>
      <c r="M433" s="9">
        <f t="shared" si="32"/>
        <v>2.4928888025889426E-2</v>
      </c>
      <c r="N433">
        <f t="shared" si="33"/>
        <v>0</v>
      </c>
      <c r="O433" s="5">
        <f t="shared" si="34"/>
        <v>2.3223159585468691E-2</v>
      </c>
      <c r="P433">
        <f t="shared" si="35"/>
        <v>0</v>
      </c>
    </row>
    <row r="434" spans="1:16" x14ac:dyDescent="0.25">
      <c r="A434" s="2">
        <f>'Historical Prices'!A432</f>
        <v>45744</v>
      </c>
      <c r="B434" s="3">
        <f>'Historical Prices'!C432/'Historical Prices'!C431-1</f>
        <v>1.5614117030362529E-3</v>
      </c>
      <c r="C434" s="3">
        <f>'Historical Prices'!B432/'Historical Prices'!B431-1</f>
        <v>3.3231393447585855E-3</v>
      </c>
      <c r="D434" s="3">
        <f>'Historical Prices'!D432/'Historical Prices'!D431-1</f>
        <v>8.7531927617929828E-3</v>
      </c>
      <c r="E434" s="3">
        <f>'Historical Prices'!E432/'Historical Prices'!E431-1</f>
        <v>-2.0516951097389935E-2</v>
      </c>
      <c r="F434" s="3">
        <f>'Historical Prices'!F432/'Historical Prices'!F431-1</f>
        <v>-2.4588297812323079E-2</v>
      </c>
      <c r="G434" s="9">
        <f t="shared" si="36"/>
        <v>-5.5873307543585831E-3</v>
      </c>
      <c r="H434" s="6">
        <f t="shared" si="37"/>
        <v>-5587.3307543585834</v>
      </c>
      <c r="I434" s="9">
        <f t="shared" si="28"/>
        <v>1.5180428710258936E-2</v>
      </c>
      <c r="J434">
        <f t="shared" si="29"/>
        <v>0</v>
      </c>
      <c r="K434" s="5">
        <f t="shared" si="30"/>
        <v>1.6127491418004649E-2</v>
      </c>
      <c r="L434">
        <f t="shared" si="31"/>
        <v>0</v>
      </c>
      <c r="M434" s="9">
        <f t="shared" si="32"/>
        <v>2.4928888025889426E-2</v>
      </c>
      <c r="N434">
        <f t="shared" si="33"/>
        <v>0</v>
      </c>
      <c r="O434" s="5">
        <f t="shared" si="34"/>
        <v>2.319438497867464E-2</v>
      </c>
      <c r="P434">
        <f t="shared" si="35"/>
        <v>0</v>
      </c>
    </row>
    <row r="435" spans="1:16" x14ac:dyDescent="0.25">
      <c r="A435" s="2">
        <f>'Historical Prices'!A433</f>
        <v>45748</v>
      </c>
      <c r="B435" s="3">
        <f>'Historical Prices'!C433/'Historical Prices'!C432-1</f>
        <v>-3.3010602106387621E-2</v>
      </c>
      <c r="C435" s="3">
        <f>'Historical Prices'!B433/'Historical Prices'!B432-1</f>
        <v>-1.4881962834702667E-2</v>
      </c>
      <c r="D435" s="3">
        <f>'Historical Prices'!D433/'Historical Prices'!D432-1</f>
        <v>-2.2175228214878495E-2</v>
      </c>
      <c r="E435" s="3">
        <f>'Historical Prices'!E433/'Historical Prices'!E432-1</f>
        <v>-2.8109431241026939E-2</v>
      </c>
      <c r="F435" s="3">
        <f>'Historical Prices'!F433/'Historical Prices'!F432-1</f>
        <v>-1.046604601082457E-2</v>
      </c>
      <c r="G435" s="9">
        <f t="shared" si="36"/>
        <v>-2.1946339227794789E-2</v>
      </c>
      <c r="H435" s="6">
        <f t="shared" si="37"/>
        <v>-21946.33922779479</v>
      </c>
      <c r="I435" s="9">
        <f t="shared" si="28"/>
        <v>1.5180428710258936E-2</v>
      </c>
      <c r="J435">
        <f t="shared" si="29"/>
        <v>1</v>
      </c>
      <c r="K435" s="5">
        <f t="shared" si="30"/>
        <v>1.6122910975657486E-2</v>
      </c>
      <c r="L435">
        <f t="shared" si="31"/>
        <v>1</v>
      </c>
      <c r="M435" s="9">
        <f t="shared" si="32"/>
        <v>2.4928888025889426E-2</v>
      </c>
      <c r="N435">
        <f t="shared" si="33"/>
        <v>0</v>
      </c>
      <c r="O435" s="5">
        <f t="shared" si="34"/>
        <v>2.3188818346352981E-2</v>
      </c>
      <c r="P435">
        <f t="shared" si="35"/>
        <v>0</v>
      </c>
    </row>
    <row r="436" spans="1:16" x14ac:dyDescent="0.25">
      <c r="A436" s="2">
        <f>'Historical Prices'!A434</f>
        <v>45749</v>
      </c>
      <c r="B436" s="3">
        <f>'Historical Prices'!C434/'Historical Prices'!C433-1</f>
        <v>1.6432359076459013E-2</v>
      </c>
      <c r="C436" s="3">
        <f>'Historical Prices'!B434/'Historical Prices'!B433-1</f>
        <v>-1.059378109234177E-3</v>
      </c>
      <c r="D436" s="3">
        <f>'Historical Prices'!D434/'Historical Prices'!D433-1</f>
        <v>9.7083880058390637E-3</v>
      </c>
      <c r="E436" s="3">
        <f>'Historical Prices'!E434/'Historical Prices'!E433-1</f>
        <v>1.5493017219828653E-2</v>
      </c>
      <c r="F436" s="3">
        <f>'Historical Prices'!F434/'Historical Prices'!F433-1</f>
        <v>-1.3264412439317752E-4</v>
      </c>
      <c r="G436" s="9">
        <f t="shared" si="36"/>
        <v>8.3068680401111074E-3</v>
      </c>
      <c r="H436" s="6">
        <f t="shared" si="37"/>
        <v>8306.8680401111069</v>
      </c>
      <c r="I436" s="9">
        <f t="shared" si="28"/>
        <v>1.5495224596295187E-2</v>
      </c>
      <c r="J436">
        <f t="shared" si="29"/>
        <v>0</v>
      </c>
      <c r="K436" s="5">
        <f t="shared" si="30"/>
        <v>1.6390668226372127E-2</v>
      </c>
      <c r="L436">
        <f t="shared" si="31"/>
        <v>0</v>
      </c>
      <c r="M436" s="9">
        <f t="shared" si="32"/>
        <v>2.4928888025889426E-2</v>
      </c>
      <c r="N436">
        <f t="shared" si="33"/>
        <v>0</v>
      </c>
      <c r="O436" s="5">
        <f t="shared" si="34"/>
        <v>2.3522618771415666E-2</v>
      </c>
      <c r="P436">
        <f t="shared" si="35"/>
        <v>0</v>
      </c>
    </row>
    <row r="437" spans="1:16" x14ac:dyDescent="0.25">
      <c r="A437" s="2">
        <f>'Historical Prices'!A435</f>
        <v>45750</v>
      </c>
      <c r="B437" s="3">
        <f>'Historical Prices'!C435/'Historical Prices'!C434-1</f>
        <v>-1.1408512444062158E-3</v>
      </c>
      <c r="C437" s="3">
        <f>'Historical Prices'!B435/'Historical Prices'!B434-1</f>
        <v>4.9794867469994397E-3</v>
      </c>
      <c r="D437" s="3">
        <f>'Historical Prices'!D435/'Historical Prices'!D434-1</f>
        <v>-1.2769736693135636E-3</v>
      </c>
      <c r="E437" s="3">
        <f>'Historical Prices'!E435/'Historical Prices'!E434-1</f>
        <v>-3.4609600685852282E-2</v>
      </c>
      <c r="F437" s="3">
        <f>'Historical Prices'!F435/'Historical Prices'!F434-1</f>
        <v>-9.895602674090731E-3</v>
      </c>
      <c r="G437" s="9">
        <f t="shared" si="36"/>
        <v>-7.8992754106474352E-3</v>
      </c>
      <c r="H437" s="6">
        <f t="shared" si="37"/>
        <v>-7899.2754106474349</v>
      </c>
      <c r="I437" s="9">
        <f t="shared" si="28"/>
        <v>1.5495224596295187E-2</v>
      </c>
      <c r="J437">
        <f t="shared" si="29"/>
        <v>0</v>
      </c>
      <c r="K437" s="5">
        <f t="shared" si="30"/>
        <v>1.639088106474626E-2</v>
      </c>
      <c r="L437">
        <f t="shared" si="31"/>
        <v>0</v>
      </c>
      <c r="M437" s="9">
        <f t="shared" si="32"/>
        <v>2.4928888025889426E-2</v>
      </c>
      <c r="N437">
        <f t="shared" si="33"/>
        <v>0</v>
      </c>
      <c r="O437" s="5">
        <f t="shared" si="34"/>
        <v>2.3523494362157379E-2</v>
      </c>
      <c r="P437">
        <f t="shared" si="35"/>
        <v>0</v>
      </c>
    </row>
    <row r="438" spans="1:16" x14ac:dyDescent="0.25">
      <c r="A438" s="2">
        <f>'Historical Prices'!A436</f>
        <v>45751</v>
      </c>
      <c r="B438" s="3">
        <f>'Historical Prices'!C436/'Historical Prices'!C435-1</f>
        <v>1.2507990700481919E-2</v>
      </c>
      <c r="C438" s="3">
        <f>'Historical Prices'!B436/'Historical Prices'!B435-1</f>
        <v>1.3305580838527398E-3</v>
      </c>
      <c r="D438" s="3">
        <f>'Historical Prices'!D436/'Historical Prices'!D435-1</f>
        <v>4.3248134269344707E-3</v>
      </c>
      <c r="E438" s="3">
        <f>'Historical Prices'!E436/'Historical Prices'!E435-1</f>
        <v>-2.9969845765863257E-2</v>
      </c>
      <c r="F438" s="3">
        <f>'Historical Prices'!F436/'Historical Prices'!F435-1</f>
        <v>-5.7055676089382557E-3</v>
      </c>
      <c r="G438" s="9">
        <f t="shared" si="36"/>
        <v>-2.7571105509385987E-3</v>
      </c>
      <c r="H438" s="6">
        <f t="shared" si="37"/>
        <v>-2757.1105509385989</v>
      </c>
      <c r="I438" s="9">
        <f t="shared" si="28"/>
        <v>1.5495224596295187E-2</v>
      </c>
      <c r="J438">
        <f t="shared" si="29"/>
        <v>0</v>
      </c>
      <c r="K438" s="5">
        <f t="shared" si="30"/>
        <v>1.6460473008015099E-2</v>
      </c>
      <c r="L438">
        <f t="shared" si="31"/>
        <v>0</v>
      </c>
      <c r="M438" s="9">
        <f t="shared" si="32"/>
        <v>2.4928888025889426E-2</v>
      </c>
      <c r="N438">
        <f t="shared" si="33"/>
        <v>0</v>
      </c>
      <c r="O438" s="5">
        <f t="shared" si="34"/>
        <v>2.3600895788720773E-2</v>
      </c>
      <c r="P438">
        <f t="shared" si="35"/>
        <v>0</v>
      </c>
    </row>
    <row r="439" spans="1:16" x14ac:dyDescent="0.25">
      <c r="A439" s="2">
        <f>'Historical Prices'!A437</f>
        <v>45754</v>
      </c>
      <c r="B439" s="3">
        <f>'Historical Prices'!C437/'Historical Prices'!C436-1</f>
        <v>-3.2795858096682728E-2</v>
      </c>
      <c r="C439" s="3">
        <f>'Historical Prices'!B437/'Historical Prices'!B436-1</f>
        <v>-3.9723427924287624E-2</v>
      </c>
      <c r="D439" s="3">
        <f>'Historical Prices'!D437/'Historical Prices'!D436-1</f>
        <v>-3.5759780131903063E-2</v>
      </c>
      <c r="E439" s="3">
        <f>'Historical Prices'!E437/'Historical Prices'!E436-1</f>
        <v>-3.7819081528503662E-2</v>
      </c>
      <c r="F439" s="3">
        <f>'Historical Prices'!F437/'Historical Prices'!F436-1</f>
        <v>-4.0553748533314171E-2</v>
      </c>
      <c r="G439" s="9">
        <f t="shared" si="36"/>
        <v>-3.7170438982380649E-2</v>
      </c>
      <c r="H439" s="6">
        <f t="shared" si="37"/>
        <v>-37170.438982380649</v>
      </c>
      <c r="I439" s="9">
        <f t="shared" si="28"/>
        <v>1.5495224596295187E-2</v>
      </c>
      <c r="J439">
        <f t="shared" si="29"/>
        <v>1</v>
      </c>
      <c r="K439" s="5">
        <f t="shared" si="30"/>
        <v>1.6477853808441922E-2</v>
      </c>
      <c r="L439">
        <f t="shared" si="31"/>
        <v>1</v>
      </c>
      <c r="M439" s="9">
        <f t="shared" si="32"/>
        <v>2.4928888025889426E-2</v>
      </c>
      <c r="N439">
        <f t="shared" si="33"/>
        <v>1</v>
      </c>
      <c r="O439" s="5">
        <f t="shared" si="34"/>
        <v>2.3619895232144906E-2</v>
      </c>
      <c r="P439">
        <f t="shared" si="35"/>
        <v>1</v>
      </c>
    </row>
    <row r="440" spans="1:16" x14ac:dyDescent="0.25">
      <c r="A440" s="2">
        <f>'Historical Prices'!A438</f>
        <v>45755</v>
      </c>
      <c r="B440" s="3">
        <f>'Historical Prices'!C438/'Historical Prices'!C437-1</f>
        <v>6.5142188808167134E-3</v>
      </c>
      <c r="C440" s="3">
        <f>'Historical Prices'!B438/'Historical Prices'!B437-1</f>
        <v>2.853200931294575E-2</v>
      </c>
      <c r="D440" s="3">
        <f>'Historical Prices'!D438/'Historical Prices'!D437-1</f>
        <v>9.5918393301153149E-3</v>
      </c>
      <c r="E440" s="3">
        <f>'Historical Prices'!E438/'Historical Prices'!E437-1</f>
        <v>2.2946167434047871E-2</v>
      </c>
      <c r="F440" s="3">
        <f>'Historical Prices'!F438/'Historical Prices'!F437-1</f>
        <v>1.3005367635248843E-2</v>
      </c>
      <c r="G440" s="9">
        <f t="shared" si="36"/>
        <v>1.5551656801622281E-2</v>
      </c>
      <c r="H440" s="6">
        <f t="shared" si="37"/>
        <v>15551.656801622281</v>
      </c>
      <c r="I440" s="9">
        <f t="shared" si="28"/>
        <v>1.6140795576927925E-2</v>
      </c>
      <c r="J440">
        <f t="shared" si="29"/>
        <v>0</v>
      </c>
      <c r="K440" s="5">
        <f t="shared" si="30"/>
        <v>1.7084274029618471E-2</v>
      </c>
      <c r="L440">
        <f t="shared" si="31"/>
        <v>0</v>
      </c>
      <c r="M440" s="9">
        <f t="shared" si="32"/>
        <v>2.4928888025889426E-2</v>
      </c>
      <c r="N440">
        <f t="shared" si="33"/>
        <v>0</v>
      </c>
      <c r="O440" s="5">
        <f t="shared" si="34"/>
        <v>2.4409816715738157E-2</v>
      </c>
      <c r="P440">
        <f t="shared" si="35"/>
        <v>0</v>
      </c>
    </row>
    <row r="441" spans="1:16" x14ac:dyDescent="0.25">
      <c r="A441" s="2">
        <f>'Historical Prices'!A439</f>
        <v>45756</v>
      </c>
      <c r="B441" s="3">
        <f>'Historical Prices'!C439/'Historical Prices'!C438-1</f>
        <v>-2.345785303134007E-3</v>
      </c>
      <c r="C441" s="3">
        <f>'Historical Prices'!B439/'Historical Prices'!B438-1</f>
        <v>-1.502993224704563E-2</v>
      </c>
      <c r="D441" s="3">
        <f>'Historical Prices'!D439/'Historical Prices'!D438-1</f>
        <v>6.9234359595560235E-4</v>
      </c>
      <c r="E441" s="3">
        <f>'Historical Prices'!E439/'Historical Prices'!E438-1</f>
        <v>-1.7567286671104299E-2</v>
      </c>
      <c r="F441" s="3">
        <f>'Historical Prices'!F439/'Historical Prices'!F438-1</f>
        <v>-2.1777870451433756E-4</v>
      </c>
      <c r="G441" s="9">
        <f t="shared" si="36"/>
        <v>-6.3827249347441616E-3</v>
      </c>
      <c r="H441" s="6">
        <f t="shared" si="37"/>
        <v>-6382.7249347441621</v>
      </c>
      <c r="I441" s="9">
        <f t="shared" si="28"/>
        <v>1.6140795576927925E-2</v>
      </c>
      <c r="J441">
        <f t="shared" si="29"/>
        <v>0</v>
      </c>
      <c r="K441" s="5">
        <f t="shared" si="30"/>
        <v>1.710520665475037E-2</v>
      </c>
      <c r="L441">
        <f t="shared" si="31"/>
        <v>0</v>
      </c>
      <c r="M441" s="9">
        <f t="shared" si="32"/>
        <v>2.4928888025889426E-2</v>
      </c>
      <c r="N441">
        <f t="shared" si="33"/>
        <v>0</v>
      </c>
      <c r="O441" s="5">
        <f t="shared" si="34"/>
        <v>2.4450638326974378E-2</v>
      </c>
      <c r="P441">
        <f t="shared" si="35"/>
        <v>0</v>
      </c>
    </row>
    <row r="442" spans="1:16" x14ac:dyDescent="0.25">
      <c r="A442" s="2">
        <f>'Historical Prices'!A440</f>
        <v>45758</v>
      </c>
      <c r="B442" s="3">
        <f>'Historical Prices'!C440/'Historical Prices'!C439-1</f>
        <v>2.3654309878777369E-2</v>
      </c>
      <c r="C442" s="3">
        <f>'Historical Prices'!B440/'Historical Prices'!B439-1</f>
        <v>6.8760326314414311E-3</v>
      </c>
      <c r="D442" s="3">
        <f>'Historical Prices'!D440/'Historical Prices'!D439-1</f>
        <v>8.3409974064849735E-3</v>
      </c>
      <c r="E442" s="3">
        <f>'Historical Prices'!E440/'Historical Prices'!E439-1</f>
        <v>4.0963148534021165E-3</v>
      </c>
      <c r="F442" s="3">
        <f>'Historical Prices'!F440/'Historical Prices'!F439-1</f>
        <v>2.2690288876890286E-2</v>
      </c>
      <c r="G442" s="9">
        <f t="shared" si="36"/>
        <v>1.3282237036250588E-2</v>
      </c>
      <c r="H442" s="6">
        <f t="shared" si="37"/>
        <v>13282.237036250588</v>
      </c>
      <c r="I442" s="9">
        <f t="shared" si="28"/>
        <v>1.6140795576927925E-2</v>
      </c>
      <c r="J442">
        <f t="shared" si="29"/>
        <v>0</v>
      </c>
      <c r="K442" s="5">
        <f t="shared" si="30"/>
        <v>1.7156895774571402E-2</v>
      </c>
      <c r="L442">
        <f t="shared" si="31"/>
        <v>0</v>
      </c>
      <c r="M442" s="9">
        <f t="shared" si="32"/>
        <v>2.4928888025889426E-2</v>
      </c>
      <c r="N442">
        <f t="shared" si="33"/>
        <v>0</v>
      </c>
      <c r="O442" s="5">
        <f t="shared" si="34"/>
        <v>2.4507531429601079E-2</v>
      </c>
      <c r="P442">
        <f t="shared" si="35"/>
        <v>0</v>
      </c>
    </row>
    <row r="443" spans="1:16" x14ac:dyDescent="0.25">
      <c r="A443" s="2">
        <f>'Historical Prices'!A441</f>
        <v>45762</v>
      </c>
      <c r="B443" s="3">
        <f>'Historical Prices'!C441/'Historical Prices'!C440-1</f>
        <v>3.2184905139226894E-2</v>
      </c>
      <c r="C443" s="3">
        <f>'Historical Prices'!B441/'Historical Prices'!B440-1</f>
        <v>4.1021693959407024E-2</v>
      </c>
      <c r="D443" s="3">
        <f>'Historical Prices'!D441/'Historical Prices'!D440-1</f>
        <v>2.9390404668372616E-2</v>
      </c>
      <c r="E443" s="3">
        <f>'Historical Prices'!E441/'Historical Prices'!E440-1</f>
        <v>1.1742217815352785E-2</v>
      </c>
      <c r="F443" s="3">
        <f>'Historical Prices'!F441/'Historical Prices'!F440-1</f>
        <v>2.5442189917708413E-2</v>
      </c>
      <c r="G443" s="9">
        <f t="shared" si="36"/>
        <v>2.8108408510339251E-2</v>
      </c>
      <c r="H443" s="6">
        <f t="shared" si="37"/>
        <v>28108.40851033925</v>
      </c>
      <c r="I443" s="9">
        <f t="shared" si="28"/>
        <v>1.6140795576927925E-2</v>
      </c>
      <c r="J443">
        <f t="shared" si="29"/>
        <v>0</v>
      </c>
      <c r="K443" s="5">
        <f t="shared" si="30"/>
        <v>1.7167106536485059E-2</v>
      </c>
      <c r="L443">
        <f t="shared" si="31"/>
        <v>0</v>
      </c>
      <c r="M443" s="9">
        <f t="shared" si="32"/>
        <v>2.4928888025889426E-2</v>
      </c>
      <c r="N443">
        <f t="shared" si="33"/>
        <v>0</v>
      </c>
      <c r="O443" s="5">
        <f t="shared" si="34"/>
        <v>2.4528656526045609E-2</v>
      </c>
      <c r="P443">
        <f t="shared" si="35"/>
        <v>0</v>
      </c>
    </row>
    <row r="444" spans="1:16" x14ac:dyDescent="0.25">
      <c r="A444" s="2">
        <f>'Historical Prices'!A442</f>
        <v>45763</v>
      </c>
      <c r="B444" s="3">
        <f>'Historical Prices'!C442/'Historical Prices'!C441-1</f>
        <v>7.0245593869706635E-3</v>
      </c>
      <c r="C444" s="3">
        <f>'Historical Prices'!B442/'Historical Prices'!B441-1</f>
        <v>4.3583769491130298E-2</v>
      </c>
      <c r="D444" s="3">
        <f>'Historical Prices'!D442/'Historical Prices'!D441-1</f>
        <v>4.5919916092629354E-3</v>
      </c>
      <c r="E444" s="3">
        <f>'Historical Prices'!E442/'Historical Prices'!E441-1</f>
        <v>-9.0463504577021903E-3</v>
      </c>
      <c r="F444" s="3">
        <f>'Historical Prices'!F442/'Historical Prices'!F441-1</f>
        <v>-4.3082167775808644E-3</v>
      </c>
      <c r="G444" s="9">
        <f t="shared" si="36"/>
        <v>8.0568968221345922E-3</v>
      </c>
      <c r="H444" s="6">
        <f t="shared" si="37"/>
        <v>8056.8968221345922</v>
      </c>
      <c r="I444" s="9">
        <f t="shared" si="28"/>
        <v>1.6140795576927925E-2</v>
      </c>
      <c r="J444">
        <f t="shared" si="29"/>
        <v>0</v>
      </c>
      <c r="K444" s="5">
        <f t="shared" si="30"/>
        <v>1.7299189466254521E-2</v>
      </c>
      <c r="L444">
        <f t="shared" si="31"/>
        <v>0</v>
      </c>
      <c r="M444" s="9">
        <f t="shared" si="32"/>
        <v>2.4928888025889426E-2</v>
      </c>
      <c r="N444">
        <f t="shared" si="33"/>
        <v>0</v>
      </c>
      <c r="O444" s="5">
        <f t="shared" si="34"/>
        <v>2.4747845856261511E-2</v>
      </c>
      <c r="P444">
        <f t="shared" si="35"/>
        <v>0</v>
      </c>
    </row>
    <row r="445" spans="1:16" x14ac:dyDescent="0.25">
      <c r="A445" s="2">
        <f>'Historical Prices'!A443</f>
        <v>45764</v>
      </c>
      <c r="B445" s="3">
        <f>'Historical Prices'!C443/'Historical Prices'!C442-1</f>
        <v>1.5282114630693178E-2</v>
      </c>
      <c r="C445" s="3">
        <f>'Historical Prices'!B443/'Historical Prices'!B442-1</f>
        <v>2.5402503831890355E-2</v>
      </c>
      <c r="D445" s="3">
        <f>'Historical Prices'!D443/'Historical Prices'!D442-1</f>
        <v>3.7083360579238445E-2</v>
      </c>
      <c r="E445" s="3">
        <f>'Historical Prices'!E443/'Historical Prices'!E442-1</f>
        <v>4.5291201599821918E-3</v>
      </c>
      <c r="F445" s="3">
        <f>'Historical Prices'!F443/'Historical Prices'!F442-1</f>
        <v>1.7004336957816557E-2</v>
      </c>
      <c r="G445" s="9">
        <f t="shared" si="36"/>
        <v>2.0470154764018627E-2</v>
      </c>
      <c r="H445" s="6">
        <f t="shared" si="37"/>
        <v>20470.154764018625</v>
      </c>
      <c r="I445" s="9">
        <f t="shared" si="28"/>
        <v>1.6140795576927925E-2</v>
      </c>
      <c r="J445">
        <f t="shared" si="29"/>
        <v>0</v>
      </c>
      <c r="K445" s="5">
        <f t="shared" si="30"/>
        <v>1.7284368250334088E-2</v>
      </c>
      <c r="L445">
        <f t="shared" si="31"/>
        <v>0</v>
      </c>
      <c r="M445" s="9">
        <f t="shared" si="32"/>
        <v>2.4928888025889426E-2</v>
      </c>
      <c r="N445">
        <f t="shared" si="33"/>
        <v>0</v>
      </c>
      <c r="O445" s="5">
        <f t="shared" si="34"/>
        <v>2.4739785955452787E-2</v>
      </c>
      <c r="P445">
        <f t="shared" si="35"/>
        <v>0</v>
      </c>
    </row>
    <row r="446" spans="1:16" x14ac:dyDescent="0.25">
      <c r="A446" s="2">
        <f>'Historical Prices'!A444</f>
        <v>45768</v>
      </c>
      <c r="B446" s="3">
        <f>'Historical Prices'!C444/'Historical Prices'!C443-1</f>
        <v>1.0699165245330988E-2</v>
      </c>
      <c r="C446" s="3">
        <f>'Historical Prices'!B444/'Historical Prices'!B443-1</f>
        <v>2.7040638788039972E-2</v>
      </c>
      <c r="D446" s="3">
        <f>'Historical Prices'!D444/'Historical Prices'!D443-1</f>
        <v>2.203909611486754E-3</v>
      </c>
      <c r="E446" s="3">
        <f>'Historical Prices'!E444/'Historical Prices'!E443-1</f>
        <v>2.2190900249224876E-2</v>
      </c>
      <c r="F446" s="3">
        <f>'Historical Prices'!F444/'Historical Prices'!F443-1</f>
        <v>3.1574203094483E-2</v>
      </c>
      <c r="G446" s="9">
        <f t="shared" si="36"/>
        <v>1.7917336874103396E-2</v>
      </c>
      <c r="H446" s="6">
        <f t="shared" si="37"/>
        <v>17917.336874103396</v>
      </c>
      <c r="I446" s="9">
        <f t="shared" si="28"/>
        <v>1.6140795576927925E-2</v>
      </c>
      <c r="J446">
        <f t="shared" si="29"/>
        <v>0</v>
      </c>
      <c r="K446" s="5">
        <f t="shared" si="30"/>
        <v>1.7254386885989435E-2</v>
      </c>
      <c r="L446">
        <f t="shared" si="31"/>
        <v>0</v>
      </c>
      <c r="M446" s="9">
        <f t="shared" si="32"/>
        <v>2.4928888025889426E-2</v>
      </c>
      <c r="N446">
        <f t="shared" si="33"/>
        <v>0</v>
      </c>
      <c r="O446" s="5">
        <f t="shared" si="34"/>
        <v>2.4746265961526202E-2</v>
      </c>
      <c r="P446">
        <f t="shared" si="35"/>
        <v>0</v>
      </c>
    </row>
    <row r="447" spans="1:16" x14ac:dyDescent="0.25">
      <c r="A447" s="2">
        <f>'Historical Prices'!A445</f>
        <v>45769</v>
      </c>
      <c r="B447" s="3">
        <f>'Historical Prices'!C445/'Historical Prices'!C444-1</f>
        <v>1.7954453316319841E-2</v>
      </c>
      <c r="C447" s="3">
        <f>'Historical Prices'!B445/'Historical Prices'!B444-1</f>
        <v>-5.0695087961096785E-3</v>
      </c>
      <c r="D447" s="3">
        <f>'Historical Prices'!D445/'Historical Prices'!D444-1</f>
        <v>4.7523766282675517E-3</v>
      </c>
      <c r="E447" s="3">
        <f>'Historical Prices'!E445/'Historical Prices'!E444-1</f>
        <v>-1.9434809087187865E-2</v>
      </c>
      <c r="F447" s="3">
        <f>'Historical Prices'!F445/'Historical Prices'!F444-1</f>
        <v>1.9211393801587429E-2</v>
      </c>
      <c r="G447" s="9">
        <f t="shared" si="36"/>
        <v>4.0572689474763814E-3</v>
      </c>
      <c r="H447" s="6">
        <f t="shared" si="37"/>
        <v>4057.2689474763815</v>
      </c>
      <c r="I447" s="9">
        <f t="shared" si="28"/>
        <v>1.6140795576927925E-2</v>
      </c>
      <c r="J447">
        <f t="shared" si="29"/>
        <v>0</v>
      </c>
      <c r="K447" s="5">
        <f t="shared" si="30"/>
        <v>1.7132649899927351E-2</v>
      </c>
      <c r="L447">
        <f t="shared" si="31"/>
        <v>0</v>
      </c>
      <c r="M447" s="9">
        <f t="shared" si="32"/>
        <v>2.4928888025889426E-2</v>
      </c>
      <c r="N447">
        <f t="shared" si="33"/>
        <v>0</v>
      </c>
      <c r="O447" s="5">
        <f t="shared" si="34"/>
        <v>2.4628794688602986E-2</v>
      </c>
      <c r="P447">
        <f t="shared" si="35"/>
        <v>0</v>
      </c>
    </row>
    <row r="448" spans="1:16" x14ac:dyDescent="0.25">
      <c r="A448" s="2">
        <f>'Historical Prices'!A446</f>
        <v>45770</v>
      </c>
      <c r="B448" s="3">
        <f>'Historical Prices'!C446/'Historical Prices'!C445-1</f>
        <v>-1.926895351123592E-2</v>
      </c>
      <c r="C448" s="3">
        <f>'Historical Prices'!B446/'Historical Prices'!B445-1</f>
        <v>-8.1360841950923746E-3</v>
      </c>
      <c r="D448" s="3">
        <f>'Historical Prices'!D446/'Historical Prices'!D445-1</f>
        <v>5.5770940155970283E-3</v>
      </c>
      <c r="E448" s="3">
        <f>'Historical Prices'!E446/'Historical Prices'!E445-1</f>
        <v>3.6617932701987765E-2</v>
      </c>
      <c r="F448" s="3">
        <f>'Historical Prices'!F446/'Historical Prices'!F445-1</f>
        <v>3.5746024622179018E-2</v>
      </c>
      <c r="G448" s="9">
        <f t="shared" si="36"/>
        <v>9.3603589514789677E-3</v>
      </c>
      <c r="H448" s="6">
        <f t="shared" si="37"/>
        <v>9360.3589514789674</v>
      </c>
      <c r="I448" s="9">
        <f t="shared" ref="I448:I511" si="38">-_xlfn.PERCENTILE.INC(G198:G447, 0.05)</f>
        <v>1.6140795576927925E-2</v>
      </c>
      <c r="J448">
        <f t="shared" ref="J448:J511" si="39">--($G448&lt;-I448)</f>
        <v>0</v>
      </c>
      <c r="K448" s="5">
        <f t="shared" ref="K448:K511" si="40">_xlfn.NORM.S.INV(0.95)*_xlfn.STDEV.S($G198:$G447)-AVERAGE($G198:$G447)</f>
        <v>1.7040680278021084E-2</v>
      </c>
      <c r="L448">
        <f t="shared" ref="L448:L511" si="41">--($G448&lt;-K448)</f>
        <v>0</v>
      </c>
      <c r="M448" s="9">
        <f t="shared" ref="M448:M511" si="42">-_xlfn.PERCENTILE.INC(G198:G437, 0.01)</f>
        <v>2.4928888025889426E-2</v>
      </c>
      <c r="N448">
        <f t="shared" ref="N448:N511" si="43">--($G448&lt;-M448)</f>
        <v>0</v>
      </c>
      <c r="O448" s="5">
        <f t="shared" ref="O448:O511" si="44">_xlfn.NORM.S.INV(0.99)*_xlfn.STDEV.S($G198:$G447)-AVERAGE($G198:$G447)</f>
        <v>2.4522370882890339E-2</v>
      </c>
      <c r="P448">
        <f t="shared" ref="P448:P511" si="45">--($G448&lt;-O448)</f>
        <v>0</v>
      </c>
    </row>
    <row r="449" spans="1:16" x14ac:dyDescent="0.25">
      <c r="A449" s="2">
        <f>'Historical Prices'!A447</f>
        <v>45771</v>
      </c>
      <c r="B449" s="3">
        <f>'Historical Prices'!C447/'Historical Prices'!C446-1</f>
        <v>-3.6905000429812151E-3</v>
      </c>
      <c r="C449" s="3">
        <f>'Historical Prices'!B447/'Historical Prices'!B446-1</f>
        <v>1.657402032444466E-4</v>
      </c>
      <c r="D449" s="3">
        <f>'Historical Prices'!D447/'Historical Prices'!D446-1</f>
        <v>-1.5234529242412531E-2</v>
      </c>
      <c r="E449" s="3">
        <f>'Historical Prices'!E447/'Historical Prices'!E446-1</f>
        <v>-2.3731278938251554E-3</v>
      </c>
      <c r="F449" s="3">
        <f>'Historical Prices'!F447/'Historical Prices'!F446-1</f>
        <v>-5.620802115769874E-3</v>
      </c>
      <c r="G449" s="9">
        <f t="shared" si="36"/>
        <v>-5.7428293805562025E-3</v>
      </c>
      <c r="H449" s="6">
        <f t="shared" si="37"/>
        <v>-5742.8293805562025</v>
      </c>
      <c r="I449" s="9">
        <f t="shared" si="38"/>
        <v>1.6140795576927925E-2</v>
      </c>
      <c r="J449">
        <f t="shared" si="39"/>
        <v>0</v>
      </c>
      <c r="K449" s="5">
        <f t="shared" si="40"/>
        <v>1.6953784144817668E-2</v>
      </c>
      <c r="L449">
        <f t="shared" si="41"/>
        <v>0</v>
      </c>
      <c r="M449" s="9">
        <f t="shared" si="42"/>
        <v>2.4928888025889426E-2</v>
      </c>
      <c r="N449">
        <f t="shared" si="43"/>
        <v>0</v>
      </c>
      <c r="O449" s="5">
        <f t="shared" si="44"/>
        <v>2.4430518386769389E-2</v>
      </c>
      <c r="P449">
        <f t="shared" si="45"/>
        <v>0</v>
      </c>
    </row>
    <row r="450" spans="1:16" x14ac:dyDescent="0.25">
      <c r="A450" s="2">
        <f>'Historical Prices'!A448</f>
        <v>45772</v>
      </c>
      <c r="B450" s="3">
        <f>'Historical Prices'!C448/'Historical Prices'!C447-1</f>
        <v>-2.9215408770987272E-3</v>
      </c>
      <c r="C450" s="3">
        <f>'Historical Prices'!B448/'Historical Prices'!B447-1</f>
        <v>-3.3800030103805057E-2</v>
      </c>
      <c r="D450" s="3">
        <f>'Historical Prices'!D448/'Historical Prices'!D447-1</f>
        <v>1.4971342732845727E-3</v>
      </c>
      <c r="E450" s="3">
        <f>'Historical Prices'!E448/'Historical Prices'!E447-1</f>
        <v>5.9806607210290963E-3</v>
      </c>
      <c r="F450" s="3">
        <f>'Historical Prices'!F448/'Historical Prices'!F447-1</f>
        <v>-1.2821404011709392E-2</v>
      </c>
      <c r="G450" s="9">
        <f t="shared" si="36"/>
        <v>-7.872536274042741E-3</v>
      </c>
      <c r="H450" s="6">
        <f t="shared" si="37"/>
        <v>-7872.5362740427408</v>
      </c>
      <c r="I450" s="9">
        <f t="shared" si="38"/>
        <v>1.6140795576927925E-2</v>
      </c>
      <c r="J450">
        <f t="shared" si="39"/>
        <v>0</v>
      </c>
      <c r="K450" s="5">
        <f t="shared" si="40"/>
        <v>1.6999335463509999E-2</v>
      </c>
      <c r="L450">
        <f t="shared" si="41"/>
        <v>0</v>
      </c>
      <c r="M450" s="9">
        <f t="shared" si="42"/>
        <v>2.8278074425391469E-2</v>
      </c>
      <c r="N450">
        <f t="shared" si="43"/>
        <v>0</v>
      </c>
      <c r="O450" s="5">
        <f t="shared" si="44"/>
        <v>2.4463703488326237E-2</v>
      </c>
      <c r="P450">
        <f t="shared" si="45"/>
        <v>0</v>
      </c>
    </row>
    <row r="451" spans="1:16" x14ac:dyDescent="0.25">
      <c r="A451" s="2">
        <f>'Historical Prices'!A449</f>
        <v>45775</v>
      </c>
      <c r="B451" s="3">
        <f>'Historical Prices'!C449/'Historical Prices'!C448-1</f>
        <v>4.7090749041072133E-3</v>
      </c>
      <c r="C451" s="3">
        <f>'Historical Prices'!B449/'Historical Prices'!B448-1</f>
        <v>2.2721480603198563E-2</v>
      </c>
      <c r="D451" s="3">
        <f>'Historical Prices'!D449/'Historical Prices'!D448-1</f>
        <v>1.7084326310349951E-2</v>
      </c>
      <c r="E451" s="3">
        <f>'Historical Prices'!E449/'Historical Prices'!E448-1</f>
        <v>1.283592372284259E-3</v>
      </c>
      <c r="F451" s="3">
        <f>'Historical Prices'!F449/'Historical Prices'!F448-1</f>
        <v>2.3182841897731121E-2</v>
      </c>
      <c r="G451" s="9">
        <f t="shared" si="36"/>
        <v>1.3783678385990317E-2</v>
      </c>
      <c r="H451" s="6">
        <f t="shared" si="37"/>
        <v>13783.678385990317</v>
      </c>
      <c r="I451" s="9">
        <f t="shared" si="38"/>
        <v>1.6140795576927925E-2</v>
      </c>
      <c r="J451">
        <f t="shared" si="39"/>
        <v>0</v>
      </c>
      <c r="K451" s="5">
        <f t="shared" si="40"/>
        <v>1.7070596286292931E-2</v>
      </c>
      <c r="L451">
        <f t="shared" si="41"/>
        <v>0</v>
      </c>
      <c r="M451" s="9">
        <f t="shared" si="42"/>
        <v>2.8278074425391469E-2</v>
      </c>
      <c r="N451">
        <f t="shared" si="43"/>
        <v>0</v>
      </c>
      <c r="O451" s="5">
        <f t="shared" si="44"/>
        <v>2.4535710390758868E-2</v>
      </c>
      <c r="P451">
        <f t="shared" si="45"/>
        <v>0</v>
      </c>
    </row>
    <row r="452" spans="1:16" x14ac:dyDescent="0.25">
      <c r="A452" s="2">
        <f>'Historical Prices'!A450</f>
        <v>45776</v>
      </c>
      <c r="B452" s="3">
        <f>'Historical Prices'!C450/'Historical Prices'!C449-1</f>
        <v>-5.9368099112625528E-3</v>
      </c>
      <c r="C452" s="3">
        <f>'Historical Prices'!B450/'Historical Prices'!B449-1</f>
        <v>-4.6110158206341678E-3</v>
      </c>
      <c r="D452" s="3">
        <f>'Historical Prices'!D450/'Historical Prices'!D449-1</f>
        <v>6.9986084394457748E-4</v>
      </c>
      <c r="E452" s="3">
        <f>'Historical Prices'!E450/'Historical Prices'!E449-1</f>
        <v>1.039072652608608E-2</v>
      </c>
      <c r="F452" s="3">
        <f>'Historical Prices'!F450/'Historical Prices'!F449-1</f>
        <v>-7.1657962299888078E-3</v>
      </c>
      <c r="G452" s="9">
        <f t="shared" si="36"/>
        <v>-1.4084267383597006E-3</v>
      </c>
      <c r="H452" s="6">
        <f t="shared" si="37"/>
        <v>-1408.4267383597005</v>
      </c>
      <c r="I452" s="9">
        <f t="shared" si="38"/>
        <v>1.6140795576927925E-2</v>
      </c>
      <c r="J452">
        <f t="shared" si="39"/>
        <v>0</v>
      </c>
      <c r="K452" s="5">
        <f t="shared" si="40"/>
        <v>1.7060095445195836E-2</v>
      </c>
      <c r="L452">
        <f t="shared" si="41"/>
        <v>0</v>
      </c>
      <c r="M452" s="9">
        <f t="shared" si="42"/>
        <v>2.8278074425391469E-2</v>
      </c>
      <c r="N452">
        <f t="shared" si="43"/>
        <v>0</v>
      </c>
      <c r="O452" s="5">
        <f t="shared" si="44"/>
        <v>2.4545224755167776E-2</v>
      </c>
      <c r="P452">
        <f t="shared" si="45"/>
        <v>0</v>
      </c>
    </row>
    <row r="453" spans="1:16" x14ac:dyDescent="0.25">
      <c r="A453" s="2">
        <f>'Historical Prices'!A451</f>
        <v>45777</v>
      </c>
      <c r="B453" s="3">
        <f>'Historical Prices'!C451/'Historical Prices'!C450-1</f>
        <v>8.4869391640329805E-3</v>
      </c>
      <c r="C453" s="3">
        <f>'Historical Prices'!B451/'Historical Prices'!B450-1</f>
        <v>-1.9372708167019193E-3</v>
      </c>
      <c r="D453" s="3">
        <f>'Historical Prices'!D451/'Historical Prices'!D450-1</f>
        <v>-1.958257219614512E-3</v>
      </c>
      <c r="E453" s="3">
        <f>'Historical Prices'!E451/'Historical Prices'!E450-1</f>
        <v>1.7362433007706013E-3</v>
      </c>
      <c r="F453" s="3">
        <f>'Historical Prices'!F451/'Historical Prices'!F450-1</f>
        <v>6.5987907046154426E-3</v>
      </c>
      <c r="G453" s="9">
        <f t="shared" si="36"/>
        <v>2.5765234201210203E-3</v>
      </c>
      <c r="H453" s="6">
        <f t="shared" si="37"/>
        <v>2576.5234201210201</v>
      </c>
      <c r="I453" s="9">
        <f t="shared" si="38"/>
        <v>1.6140795576927925E-2</v>
      </c>
      <c r="J453">
        <f t="shared" si="39"/>
        <v>0</v>
      </c>
      <c r="K453" s="5">
        <f t="shared" si="40"/>
        <v>1.7072893203491472E-2</v>
      </c>
      <c r="L453">
        <f t="shared" si="41"/>
        <v>0</v>
      </c>
      <c r="M453" s="9">
        <f t="shared" si="42"/>
        <v>2.8278074425391469E-2</v>
      </c>
      <c r="N453">
        <f t="shared" si="43"/>
        <v>0</v>
      </c>
      <c r="O453" s="5">
        <f t="shared" si="44"/>
        <v>2.4558728925683483E-2</v>
      </c>
      <c r="P453">
        <f t="shared" si="45"/>
        <v>0</v>
      </c>
    </row>
    <row r="454" spans="1:16" x14ac:dyDescent="0.25">
      <c r="A454" s="2">
        <f>'Historical Prices'!A452</f>
        <v>45779</v>
      </c>
      <c r="B454" s="3">
        <f>'Historical Prices'!C452/'Historical Prices'!C451-1</f>
        <v>-1.6103352055679698E-3</v>
      </c>
      <c r="C454" s="3">
        <f>'Historical Prices'!B452/'Historical Prices'!B451-1</f>
        <v>-1.350219712506151E-3</v>
      </c>
      <c r="D454" s="3">
        <f>'Historical Prices'!D452/'Historical Prices'!D451-1</f>
        <v>2.1722965213877288E-3</v>
      </c>
      <c r="E454" s="3">
        <f>'Historical Prices'!E452/'Historical Prices'!E451-1</f>
        <v>4.533080083216845E-3</v>
      </c>
      <c r="F454" s="3">
        <f>'Historical Prices'!F452/'Historical Prices'!F451-1</f>
        <v>-3.9606605238855508E-3</v>
      </c>
      <c r="G454" s="9">
        <f t="shared" ref="G454:G517" si="46">SUMPRODUCT(B454:F454, $B$2:$F$2)</f>
        <v>-2.1603501036033981E-5</v>
      </c>
      <c r="H454" s="6">
        <f t="shared" ref="H454:H517" si="47">G454*1000000</f>
        <v>-21.603501036033983</v>
      </c>
      <c r="I454" s="9">
        <f t="shared" si="38"/>
        <v>1.6140795576927925E-2</v>
      </c>
      <c r="J454">
        <f t="shared" si="39"/>
        <v>0</v>
      </c>
      <c r="K454" s="5">
        <f t="shared" si="40"/>
        <v>1.7041002304648695E-2</v>
      </c>
      <c r="L454">
        <f t="shared" si="41"/>
        <v>0</v>
      </c>
      <c r="M454" s="9">
        <f t="shared" si="42"/>
        <v>2.8278074425391469E-2</v>
      </c>
      <c r="N454">
        <f t="shared" si="43"/>
        <v>0</v>
      </c>
      <c r="O454" s="5">
        <f t="shared" si="44"/>
        <v>2.4486341894692291E-2</v>
      </c>
      <c r="P454">
        <f t="shared" si="45"/>
        <v>0</v>
      </c>
    </row>
    <row r="455" spans="1:16" x14ac:dyDescent="0.25">
      <c r="A455" s="2">
        <f>'Historical Prices'!A453</f>
        <v>45782</v>
      </c>
      <c r="B455" s="3">
        <f>'Historical Prices'!C453/'Historical Prices'!C452-1</f>
        <v>7.7527166540523051E-3</v>
      </c>
      <c r="C455" s="3">
        <f>'Historical Prices'!B453/'Historical Prices'!B452-1</f>
        <v>-8.6191594506269675E-3</v>
      </c>
      <c r="D455" s="3">
        <f>'Historical Prices'!D453/'Historical Prices'!D452-1</f>
        <v>-4.8939656674751308E-4</v>
      </c>
      <c r="E455" s="3">
        <f>'Historical Prices'!E453/'Historical Prices'!E452-1</f>
        <v>1.1280068822223654E-3</v>
      </c>
      <c r="F455" s="3">
        <f>'Historical Prices'!F453/'Historical Prices'!F452-1</f>
        <v>3.5753417755920447E-2</v>
      </c>
      <c r="G455" s="9">
        <f t="shared" si="46"/>
        <v>7.0403673303120464E-3</v>
      </c>
      <c r="H455" s="6">
        <f t="shared" si="47"/>
        <v>7040.3673303120468</v>
      </c>
      <c r="I455" s="9">
        <f t="shared" si="38"/>
        <v>1.6140795576927925E-2</v>
      </c>
      <c r="J455">
        <f t="shared" si="39"/>
        <v>0</v>
      </c>
      <c r="K455" s="5">
        <f t="shared" si="40"/>
        <v>1.699757313724239E-2</v>
      </c>
      <c r="L455">
        <f t="shared" si="41"/>
        <v>0</v>
      </c>
      <c r="M455" s="9">
        <f t="shared" si="42"/>
        <v>2.8278074425391469E-2</v>
      </c>
      <c r="N455">
        <f t="shared" si="43"/>
        <v>0</v>
      </c>
      <c r="O455" s="5">
        <f t="shared" si="44"/>
        <v>2.4435858238855974E-2</v>
      </c>
      <c r="P455">
        <f t="shared" si="45"/>
        <v>0</v>
      </c>
    </row>
    <row r="456" spans="1:16" x14ac:dyDescent="0.25">
      <c r="A456" s="2">
        <f>'Historical Prices'!A454</f>
        <v>45783</v>
      </c>
      <c r="B456" s="3">
        <f>'Historical Prices'!C454/'Historical Prices'!C453-1</f>
        <v>-2.633189512566747E-3</v>
      </c>
      <c r="C456" s="3">
        <f>'Historical Prices'!B454/'Historical Prices'!B453-1</f>
        <v>-1.0057999543106821E-2</v>
      </c>
      <c r="D456" s="3">
        <f>'Historical Prices'!D454/'Historical Prices'!D453-1</f>
        <v>1.5390301749376167E-3</v>
      </c>
      <c r="E456" s="3">
        <f>'Historical Prices'!E454/'Historical Prices'!E453-1</f>
        <v>1.9223793176292858E-3</v>
      </c>
      <c r="F456" s="3">
        <f>'Historical Prices'!F454/'Historical Prices'!F453-1</f>
        <v>1.5522105075674197E-2</v>
      </c>
      <c r="G456" s="9">
        <f t="shared" si="46"/>
        <v>1.2934782734787739E-3</v>
      </c>
      <c r="H456" s="6">
        <f t="shared" si="47"/>
        <v>1293.4782734787739</v>
      </c>
      <c r="I456" s="9">
        <f t="shared" si="38"/>
        <v>1.6140795576927925E-2</v>
      </c>
      <c r="J456">
        <f t="shared" si="39"/>
        <v>0</v>
      </c>
      <c r="K456" s="5">
        <f t="shared" si="40"/>
        <v>1.6947134315801273E-2</v>
      </c>
      <c r="L456">
        <f t="shared" si="41"/>
        <v>0</v>
      </c>
      <c r="M456" s="9">
        <f t="shared" si="42"/>
        <v>2.8278074425391469E-2</v>
      </c>
      <c r="N456">
        <f t="shared" si="43"/>
        <v>0</v>
      </c>
      <c r="O456" s="5">
        <f t="shared" si="44"/>
        <v>2.434234919963232E-2</v>
      </c>
      <c r="P456">
        <f t="shared" si="45"/>
        <v>0</v>
      </c>
    </row>
    <row r="457" spans="1:16" x14ac:dyDescent="0.25">
      <c r="A457" s="2">
        <f>'Historical Prices'!A455</f>
        <v>45784</v>
      </c>
      <c r="B457" s="3">
        <f>'Historical Prices'!C455/'Historical Prices'!C454-1</f>
        <v>7.1957870240277888E-3</v>
      </c>
      <c r="C457" s="3">
        <f>'Historical Prices'!B455/'Historical Prices'!B454-1</f>
        <v>-8.6011416884246295E-5</v>
      </c>
      <c r="D457" s="3">
        <f>'Historical Prices'!D455/'Historical Prices'!D454-1</f>
        <v>2.6544604579921138E-3</v>
      </c>
      <c r="E457" s="3">
        <f>'Historical Prices'!E455/'Historical Prices'!E454-1</f>
        <v>-2.1170501669782738E-3</v>
      </c>
      <c r="F457" s="3">
        <f>'Historical Prices'!F455/'Historical Prices'!F454-1</f>
        <v>1.6784070900459414E-2</v>
      </c>
      <c r="G457" s="9">
        <f t="shared" si="46"/>
        <v>4.953509886258387E-3</v>
      </c>
      <c r="H457" s="6">
        <f t="shared" si="47"/>
        <v>4953.5098862583873</v>
      </c>
      <c r="I457" s="9">
        <f t="shared" si="38"/>
        <v>1.6140795576927925E-2</v>
      </c>
      <c r="J457">
        <f t="shared" si="39"/>
        <v>0</v>
      </c>
      <c r="K457" s="5">
        <f t="shared" si="40"/>
        <v>1.6956643974627338E-2</v>
      </c>
      <c r="L457">
        <f t="shared" si="41"/>
        <v>0</v>
      </c>
      <c r="M457" s="9">
        <f t="shared" si="42"/>
        <v>2.8278074425391469E-2</v>
      </c>
      <c r="N457">
        <f t="shared" si="43"/>
        <v>0</v>
      </c>
      <c r="O457" s="5">
        <f t="shared" si="44"/>
        <v>2.4349907602418806E-2</v>
      </c>
      <c r="P457">
        <f t="shared" si="45"/>
        <v>0</v>
      </c>
    </row>
    <row r="458" spans="1:16" x14ac:dyDescent="0.25">
      <c r="A458" s="2">
        <f>'Historical Prices'!A456</f>
        <v>45785</v>
      </c>
      <c r="B458" s="3">
        <f>'Historical Prices'!C456/'Historical Prices'!C455-1</f>
        <v>-8.7891171044310878E-3</v>
      </c>
      <c r="C458" s="3">
        <f>'Historical Prices'!B456/'Historical Prices'!B455-1</f>
        <v>9.3859477894213672E-3</v>
      </c>
      <c r="D458" s="3">
        <f>'Historical Prices'!D456/'Historical Prices'!D455-1</f>
        <v>6.9655642725541256E-5</v>
      </c>
      <c r="E458" s="3">
        <f>'Historical Prices'!E456/'Historical Prices'!E455-1</f>
        <v>2.0552247803131696E-3</v>
      </c>
      <c r="F458" s="3">
        <f>'Historical Prices'!F456/'Historical Prices'!F455-1</f>
        <v>-2.7821339165537529E-2</v>
      </c>
      <c r="G458" s="9">
        <f t="shared" si="46"/>
        <v>-5.0959000129200214E-3</v>
      </c>
      <c r="H458" s="6">
        <f t="shared" si="47"/>
        <v>-5095.9000129200213</v>
      </c>
      <c r="I458" s="9">
        <f t="shared" si="38"/>
        <v>1.6140795576927925E-2</v>
      </c>
      <c r="J458">
        <f t="shared" si="39"/>
        <v>0</v>
      </c>
      <c r="K458" s="5">
        <f t="shared" si="40"/>
        <v>1.6935490055483709E-2</v>
      </c>
      <c r="L458">
        <f t="shared" si="41"/>
        <v>0</v>
      </c>
      <c r="M458" s="9">
        <f t="shared" si="42"/>
        <v>2.8278074425391469E-2</v>
      </c>
      <c r="N458">
        <f t="shared" si="43"/>
        <v>0</v>
      </c>
      <c r="O458" s="5">
        <f t="shared" si="44"/>
        <v>2.4330249601237721E-2</v>
      </c>
      <c r="P458">
        <f t="shared" si="45"/>
        <v>0</v>
      </c>
    </row>
    <row r="459" spans="1:16" x14ac:dyDescent="0.25">
      <c r="A459" s="2">
        <f>'Historical Prices'!A457</f>
        <v>45786</v>
      </c>
      <c r="B459" s="3">
        <f>'Historical Prices'!C457/'Historical Prices'!C456-1</f>
        <v>-2.011926469092129E-2</v>
      </c>
      <c r="C459" s="3">
        <f>'Historical Prices'!B457/'Historical Prices'!B456-1</f>
        <v>-1.8000391986330411E-2</v>
      </c>
      <c r="D459" s="3">
        <f>'Historical Prices'!D457/'Historical Prices'!D456-1</f>
        <v>-3.2462540015719243E-2</v>
      </c>
      <c r="E459" s="3">
        <f>'Historical Prices'!E457/'Historical Prices'!E456-1</f>
        <v>-2.5141900003468054E-3</v>
      </c>
      <c r="F459" s="3">
        <f>'Historical Prices'!F457/'Historical Prices'!F456-1</f>
        <v>-1.6814522156021861E-2</v>
      </c>
      <c r="G459" s="9">
        <f t="shared" si="46"/>
        <v>-1.8663281597750124E-2</v>
      </c>
      <c r="H459" s="6">
        <f t="shared" si="47"/>
        <v>-18663.281597750123</v>
      </c>
      <c r="I459" s="9">
        <f t="shared" si="38"/>
        <v>1.6140795576927925E-2</v>
      </c>
      <c r="J459">
        <f t="shared" si="39"/>
        <v>1</v>
      </c>
      <c r="K459" s="5">
        <f t="shared" si="40"/>
        <v>1.6958407187013139E-2</v>
      </c>
      <c r="L459">
        <f t="shared" si="41"/>
        <v>1</v>
      </c>
      <c r="M459" s="9">
        <f t="shared" si="42"/>
        <v>2.8278074425391469E-2</v>
      </c>
      <c r="N459">
        <f t="shared" si="43"/>
        <v>0</v>
      </c>
      <c r="O459" s="5">
        <f t="shared" si="44"/>
        <v>2.4356903038459637E-2</v>
      </c>
      <c r="P459">
        <f t="shared" si="45"/>
        <v>0</v>
      </c>
    </row>
    <row r="460" spans="1:16" x14ac:dyDescent="0.25">
      <c r="A460" s="2">
        <f>'Historical Prices'!A458</f>
        <v>45789</v>
      </c>
      <c r="B460" s="3">
        <f>'Historical Prices'!C458/'Historical Prices'!C457-1</f>
        <v>3.571992376668609E-2</v>
      </c>
      <c r="C460" s="3">
        <f>'Historical Prices'!B458/'Historical Prices'!B457-1</f>
        <v>4.5087268593609453E-2</v>
      </c>
      <c r="D460" s="3">
        <f>'Historical Prices'!D458/'Historical Prices'!D457-1</f>
        <v>4.2911632514787357E-2</v>
      </c>
      <c r="E460" s="3">
        <f>'Historical Prices'!E458/'Historical Prices'!E457-1</f>
        <v>7.913240517681519E-2</v>
      </c>
      <c r="F460" s="3">
        <f>'Historical Prices'!F458/'Historical Prices'!F457-1</f>
        <v>4.1111953288535119E-2</v>
      </c>
      <c r="G460" s="9">
        <f t="shared" si="46"/>
        <v>4.8123304713259894E-2</v>
      </c>
      <c r="H460" s="6">
        <f t="shared" si="47"/>
        <v>48123.304713259895</v>
      </c>
      <c r="I460" s="9">
        <f t="shared" si="38"/>
        <v>1.6782212864835208E-2</v>
      </c>
      <c r="J460">
        <f t="shared" si="39"/>
        <v>0</v>
      </c>
      <c r="K460" s="5">
        <f t="shared" si="40"/>
        <v>1.7164195563735989E-2</v>
      </c>
      <c r="L460">
        <f t="shared" si="41"/>
        <v>0</v>
      </c>
      <c r="M460" s="9">
        <f t="shared" si="42"/>
        <v>2.8278074425391469E-2</v>
      </c>
      <c r="N460">
        <f t="shared" si="43"/>
        <v>0</v>
      </c>
      <c r="O460" s="5">
        <f t="shared" si="44"/>
        <v>2.4607612526933668E-2</v>
      </c>
      <c r="P460">
        <f t="shared" si="45"/>
        <v>0</v>
      </c>
    </row>
    <row r="461" spans="1:16" x14ac:dyDescent="0.25">
      <c r="A461" s="2">
        <f>'Historical Prices'!A459</f>
        <v>45790</v>
      </c>
      <c r="B461" s="3">
        <f>'Historical Prices'!C459/'Historical Prices'!C458-1</f>
        <v>-1.7678265742030685E-2</v>
      </c>
      <c r="C461" s="3">
        <f>'Historical Prices'!B459/'Historical Prices'!B458-1</f>
        <v>-7.8137228157579841E-3</v>
      </c>
      <c r="D461" s="3">
        <f>'Historical Prices'!D459/'Historical Prices'!D458-1</f>
        <v>-1.2357653784269229E-2</v>
      </c>
      <c r="E461" s="3">
        <f>'Historical Prices'!E459/'Historical Prices'!E458-1</f>
        <v>-3.5835051787233896E-2</v>
      </c>
      <c r="F461" s="3">
        <f>'Historical Prices'!F459/'Historical Prices'!F458-1</f>
        <v>-1.6394549578822137E-2</v>
      </c>
      <c r="G461" s="9">
        <f t="shared" si="46"/>
        <v>-1.7744576610496957E-2</v>
      </c>
      <c r="H461" s="6">
        <f t="shared" si="47"/>
        <v>-17744.576610496955</v>
      </c>
      <c r="I461" s="9">
        <f t="shared" si="38"/>
        <v>1.6782212864835208E-2</v>
      </c>
      <c r="J461">
        <f t="shared" si="39"/>
        <v>1</v>
      </c>
      <c r="K461" s="5">
        <f t="shared" si="40"/>
        <v>1.7571946182738756E-2</v>
      </c>
      <c r="L461">
        <f t="shared" si="41"/>
        <v>1</v>
      </c>
      <c r="M461" s="9">
        <f t="shared" si="42"/>
        <v>2.8278074425391469E-2</v>
      </c>
      <c r="N461">
        <f t="shared" si="43"/>
        <v>0</v>
      </c>
      <c r="O461" s="5">
        <f t="shared" si="44"/>
        <v>2.5278428460227979E-2</v>
      </c>
      <c r="P461">
        <f t="shared" si="45"/>
        <v>0</v>
      </c>
    </row>
    <row r="462" spans="1:16" x14ac:dyDescent="0.25">
      <c r="A462" s="2">
        <f>'Historical Prices'!A460</f>
        <v>45791</v>
      </c>
      <c r="B462" s="3">
        <f>'Historical Prices'!C460/'Historical Prices'!C459-1</f>
        <v>-6.2415582132011593E-3</v>
      </c>
      <c r="C462" s="3">
        <f>'Historical Prices'!B460/'Historical Prices'!B459-1</f>
        <v>1.591871743078066E-3</v>
      </c>
      <c r="D462" s="3">
        <f>'Historical Prices'!D460/'Historical Prices'!D459-1</f>
        <v>-3.0756520217534167E-3</v>
      </c>
      <c r="E462" s="3">
        <f>'Historical Prices'!E460/'Historical Prices'!E459-1</f>
        <v>1.5172806937767902E-2</v>
      </c>
      <c r="F462" s="3">
        <f>'Historical Prices'!F460/'Historical Prices'!F459-1</f>
        <v>1.5718114676421369E-2</v>
      </c>
      <c r="G462" s="9">
        <f t="shared" si="46"/>
        <v>4.1060739078650774E-3</v>
      </c>
      <c r="H462" s="6">
        <f t="shared" si="47"/>
        <v>4106.0739078650777</v>
      </c>
      <c r="I462" s="9">
        <f t="shared" si="38"/>
        <v>1.7135968308504626E-2</v>
      </c>
      <c r="J462">
        <f t="shared" si="39"/>
        <v>0</v>
      </c>
      <c r="K462" s="5">
        <f t="shared" si="40"/>
        <v>1.7694591170580268E-2</v>
      </c>
      <c r="L462">
        <f t="shared" si="41"/>
        <v>0</v>
      </c>
      <c r="M462" s="9">
        <f t="shared" si="42"/>
        <v>2.8278074425391469E-2</v>
      </c>
      <c r="N462">
        <f t="shared" si="43"/>
        <v>0</v>
      </c>
      <c r="O462" s="5">
        <f t="shared" si="44"/>
        <v>2.5434858505683954E-2</v>
      </c>
      <c r="P462">
        <f t="shared" si="45"/>
        <v>0</v>
      </c>
    </row>
    <row r="463" spans="1:16" x14ac:dyDescent="0.25">
      <c r="A463" s="2">
        <f>'Historical Prices'!A461</f>
        <v>45792</v>
      </c>
      <c r="B463" s="3">
        <f>'Historical Prices'!C461/'Historical Prices'!C460-1</f>
        <v>1.2142736728829595E-2</v>
      </c>
      <c r="C463" s="3">
        <f>'Historical Prices'!B461/'Historical Prices'!B460-1</f>
        <v>1.1375963896375296E-2</v>
      </c>
      <c r="D463" s="3">
        <f>'Historical Prices'!D461/'Historical Prices'!D460-1</f>
        <v>1.724869453400335E-2</v>
      </c>
      <c r="E463" s="3">
        <f>'Historical Prices'!E461/'Historical Prices'!E460-1</f>
        <v>1.2936457162283421E-2</v>
      </c>
      <c r="F463" s="3">
        <f>'Historical Prices'!F461/'Historical Prices'!F460-1</f>
        <v>1.3701730599336992E-2</v>
      </c>
      <c r="G463" s="9">
        <f t="shared" si="46"/>
        <v>1.3613075919238986E-2</v>
      </c>
      <c r="H463" s="6">
        <f t="shared" si="47"/>
        <v>13613.075919238985</v>
      </c>
      <c r="I463" s="9">
        <f t="shared" si="38"/>
        <v>1.7135968308504626E-2</v>
      </c>
      <c r="J463">
        <f t="shared" si="39"/>
        <v>0</v>
      </c>
      <c r="K463" s="5">
        <f t="shared" si="40"/>
        <v>1.7655239354721037E-2</v>
      </c>
      <c r="L463">
        <f t="shared" si="41"/>
        <v>0</v>
      </c>
      <c r="M463" s="9">
        <f t="shared" si="42"/>
        <v>2.8278074425391469E-2</v>
      </c>
      <c r="N463">
        <f t="shared" si="43"/>
        <v>0</v>
      </c>
      <c r="O463" s="5">
        <f t="shared" si="44"/>
        <v>2.5393213728820238E-2</v>
      </c>
      <c r="P463">
        <f t="shared" si="45"/>
        <v>0</v>
      </c>
    </row>
    <row r="464" spans="1:16" x14ac:dyDescent="0.25">
      <c r="A464" s="2">
        <f>'Historical Prices'!A462</f>
        <v>45793</v>
      </c>
      <c r="B464" s="3">
        <f>'Historical Prices'!C462/'Historical Prices'!C461-1</f>
        <v>4.6539756730257231E-4</v>
      </c>
      <c r="C464" s="3">
        <f>'Historical Prices'!B462/'Historical Prices'!B461-1</f>
        <v>-2.4805682918283001E-4</v>
      </c>
      <c r="D464" s="3">
        <f>'Historical Prices'!D462/'Historical Prices'!D461-1</f>
        <v>2.205662368634842E-3</v>
      </c>
      <c r="E464" s="3">
        <f>'Historical Prices'!E462/'Historical Prices'!E461-1</f>
        <v>-1.4321148672299056E-2</v>
      </c>
      <c r="F464" s="3">
        <f>'Historical Prices'!F462/'Historical Prices'!F461-1</f>
        <v>-2.7669271219521452E-3</v>
      </c>
      <c r="G464" s="9">
        <f t="shared" si="46"/>
        <v>-2.6167451667920985E-3</v>
      </c>
      <c r="H464" s="6">
        <f t="shared" si="47"/>
        <v>-2616.7451667920986</v>
      </c>
      <c r="I464" s="9">
        <f t="shared" si="38"/>
        <v>1.7135968308504626E-2</v>
      </c>
      <c r="J464">
        <f t="shared" si="39"/>
        <v>0</v>
      </c>
      <c r="K464" s="5">
        <f t="shared" si="40"/>
        <v>1.764086894391019E-2</v>
      </c>
      <c r="L464">
        <f t="shared" si="41"/>
        <v>0</v>
      </c>
      <c r="M464" s="9">
        <f t="shared" si="42"/>
        <v>2.8278074425391469E-2</v>
      </c>
      <c r="N464">
        <f t="shared" si="43"/>
        <v>0</v>
      </c>
      <c r="O464" s="5">
        <f t="shared" si="44"/>
        <v>2.5397281682782925E-2</v>
      </c>
      <c r="P464">
        <f t="shared" si="45"/>
        <v>0</v>
      </c>
    </row>
    <row r="465" spans="1:16" x14ac:dyDescent="0.25">
      <c r="A465" s="2">
        <f>'Historical Prices'!A463</f>
        <v>45796</v>
      </c>
      <c r="B465" s="3">
        <f>'Historical Prices'!C463/'Historical Prices'!C462-1</f>
        <v>2.0675075505791618E-3</v>
      </c>
      <c r="C465" s="3">
        <f>'Historical Prices'!B463/'Historical Prices'!B462-1</f>
        <v>-4.9635813202163481E-3</v>
      </c>
      <c r="D465" s="3">
        <f>'Historical Prices'!D463/'Historical Prices'!D462-1</f>
        <v>-3.438741372538856E-3</v>
      </c>
      <c r="E465" s="3">
        <f>'Historical Prices'!E463/'Historical Prices'!E462-1</f>
        <v>-1.8931933296226111E-2</v>
      </c>
      <c r="F465" s="3">
        <f>'Historical Prices'!F463/'Historical Prices'!F462-1</f>
        <v>-2.4237338746549986E-3</v>
      </c>
      <c r="G465" s="9">
        <f t="shared" si="46"/>
        <v>-5.2185530408755442E-3</v>
      </c>
      <c r="H465" s="6">
        <f t="shared" si="47"/>
        <v>-5218.553040875544</v>
      </c>
      <c r="I465" s="9">
        <f t="shared" si="38"/>
        <v>1.7135968308504626E-2</v>
      </c>
      <c r="J465">
        <f t="shared" si="39"/>
        <v>0</v>
      </c>
      <c r="K465" s="5">
        <f t="shared" si="40"/>
        <v>1.7671918174695558E-2</v>
      </c>
      <c r="L465">
        <f t="shared" si="41"/>
        <v>0</v>
      </c>
      <c r="M465" s="9">
        <f t="shared" si="42"/>
        <v>2.8278074425391469E-2</v>
      </c>
      <c r="N465">
        <f t="shared" si="43"/>
        <v>0</v>
      </c>
      <c r="O465" s="5">
        <f t="shared" si="44"/>
        <v>2.5427294074275762E-2</v>
      </c>
      <c r="P465">
        <f t="shared" si="45"/>
        <v>0</v>
      </c>
    </row>
    <row r="466" spans="1:16" x14ac:dyDescent="0.25">
      <c r="A466" s="2">
        <f>'Historical Prices'!A464</f>
        <v>45797</v>
      </c>
      <c r="B466" s="3">
        <f>'Historical Prices'!C464/'Historical Prices'!C463-1</f>
        <v>-1.2276239952846102E-2</v>
      </c>
      <c r="C466" s="3">
        <f>'Historical Prices'!B464/'Historical Prices'!B463-1</f>
        <v>-5.8197654690727019E-3</v>
      </c>
      <c r="D466" s="3">
        <f>'Historical Prices'!D464/'Historical Prices'!D463-1</f>
        <v>-7.4534860198021136E-3</v>
      </c>
      <c r="E466" s="3">
        <f>'Historical Prices'!E464/'Historical Prices'!E463-1</f>
        <v>5.1277069872335268E-4</v>
      </c>
      <c r="F466" s="3">
        <f>'Historical Prices'!F464/'Historical Prices'!F463-1</f>
        <v>-2.0620150046688379E-2</v>
      </c>
      <c r="G466" s="9">
        <f t="shared" si="46"/>
        <v>-9.241320934979317E-3</v>
      </c>
      <c r="H466" s="6">
        <f t="shared" si="47"/>
        <v>-9241.3209349793178</v>
      </c>
      <c r="I466" s="9">
        <f t="shared" si="38"/>
        <v>1.7135968308504626E-2</v>
      </c>
      <c r="J466">
        <f t="shared" si="39"/>
        <v>0</v>
      </c>
      <c r="K466" s="5">
        <f t="shared" si="40"/>
        <v>1.7720373714231834E-2</v>
      </c>
      <c r="L466">
        <f t="shared" si="41"/>
        <v>0</v>
      </c>
      <c r="M466" s="9">
        <f t="shared" si="42"/>
        <v>2.8278074425391469E-2</v>
      </c>
      <c r="N466">
        <f t="shared" si="43"/>
        <v>0</v>
      </c>
      <c r="O466" s="5">
        <f t="shared" si="44"/>
        <v>2.5477965318812676E-2</v>
      </c>
      <c r="P466">
        <f t="shared" si="45"/>
        <v>0</v>
      </c>
    </row>
    <row r="467" spans="1:16" x14ac:dyDescent="0.25">
      <c r="A467" s="2">
        <f>'Historical Prices'!A465</f>
        <v>45798</v>
      </c>
      <c r="B467" s="3">
        <f>'Historical Prices'!C465/'Historical Prices'!C464-1</f>
        <v>6.2144423982861685E-3</v>
      </c>
      <c r="C467" s="3">
        <f>'Historical Prices'!B465/'Historical Prices'!B464-1</f>
        <v>1.6724800096354908E-3</v>
      </c>
      <c r="D467" s="3">
        <f>'Historical Prices'!D465/'Historical Prices'!D464-1</f>
        <v>4.5195786016298811E-3</v>
      </c>
      <c r="E467" s="3">
        <f>'Historical Prices'!E465/'Historical Prices'!E464-1</f>
        <v>5.0621365433267673E-3</v>
      </c>
      <c r="F467" s="3">
        <f>'Historical Prices'!F465/'Historical Prices'!F464-1</f>
        <v>8.8786800385072251E-3</v>
      </c>
      <c r="G467" s="9">
        <f t="shared" si="46"/>
        <v>5.2931014882509767E-3</v>
      </c>
      <c r="H467" s="6">
        <f t="shared" si="47"/>
        <v>5293.1014882509771</v>
      </c>
      <c r="I467" s="9">
        <f t="shared" si="38"/>
        <v>1.7135968308504626E-2</v>
      </c>
      <c r="J467">
        <f t="shared" si="39"/>
        <v>0</v>
      </c>
      <c r="K467" s="5">
        <f t="shared" si="40"/>
        <v>1.7789719532692816E-2</v>
      </c>
      <c r="L467">
        <f t="shared" si="41"/>
        <v>0</v>
      </c>
      <c r="M467" s="9">
        <f t="shared" si="42"/>
        <v>2.8278074425391469E-2</v>
      </c>
      <c r="N467">
        <f t="shared" si="43"/>
        <v>0</v>
      </c>
      <c r="O467" s="5">
        <f t="shared" si="44"/>
        <v>2.5559845565110085E-2</v>
      </c>
      <c r="P467">
        <f t="shared" si="45"/>
        <v>0</v>
      </c>
    </row>
    <row r="468" spans="1:16" x14ac:dyDescent="0.25">
      <c r="A468" s="2">
        <f>'Historical Prices'!A466</f>
        <v>45799</v>
      </c>
      <c r="B468" s="3">
        <f>'Historical Prices'!C466/'Historical Prices'!C465-1</f>
        <v>-3.5810974917631633E-3</v>
      </c>
      <c r="C468" s="3">
        <f>'Historical Prices'!B466/'Historical Prices'!B465-1</f>
        <v>-7.7642458835063266E-3</v>
      </c>
      <c r="D468" s="3">
        <f>'Historical Prices'!D466/'Historical Prices'!D465-1</f>
        <v>-1.7997319120717226E-3</v>
      </c>
      <c r="E468" s="3">
        <f>'Historical Prices'!E466/'Historical Prices'!E465-1</f>
        <v>-1.338858124655562E-2</v>
      </c>
      <c r="F468" s="3">
        <f>'Historical Prices'!F466/'Historical Prices'!F465-1</f>
        <v>-2.7307801025370226E-2</v>
      </c>
      <c r="G468" s="9">
        <f t="shared" si="46"/>
        <v>-1.0330880366716023E-2</v>
      </c>
      <c r="H468" s="6">
        <f t="shared" si="47"/>
        <v>-10330.880366716023</v>
      </c>
      <c r="I468" s="9">
        <f t="shared" si="38"/>
        <v>1.7135968308504626E-2</v>
      </c>
      <c r="J468">
        <f t="shared" si="39"/>
        <v>0</v>
      </c>
      <c r="K468" s="5">
        <f t="shared" si="40"/>
        <v>1.776962819157232E-2</v>
      </c>
      <c r="L468">
        <f t="shared" si="41"/>
        <v>0</v>
      </c>
      <c r="M468" s="9">
        <f t="shared" si="42"/>
        <v>2.8278074425391469E-2</v>
      </c>
      <c r="N468">
        <f t="shared" si="43"/>
        <v>0</v>
      </c>
      <c r="O468" s="5">
        <f t="shared" si="44"/>
        <v>2.5512801196765172E-2</v>
      </c>
      <c r="P468">
        <f t="shared" si="45"/>
        <v>0</v>
      </c>
    </row>
    <row r="469" spans="1:16" x14ac:dyDescent="0.25">
      <c r="A469" s="2">
        <f>'Historical Prices'!A467</f>
        <v>45800</v>
      </c>
      <c r="B469" s="3">
        <f>'Historical Prices'!C467/'Historical Prices'!C466-1</f>
        <v>7.1357922290402609E-3</v>
      </c>
      <c r="C469" s="3">
        <f>'Historical Prices'!B467/'Historical Prices'!B466-1</f>
        <v>1.8174182866475874E-2</v>
      </c>
      <c r="D469" s="3">
        <f>'Historical Prices'!D467/'Historical Prices'!D466-1</f>
        <v>5.3395123137032208E-3</v>
      </c>
      <c r="E469" s="3">
        <f>'Historical Prices'!E467/'Historical Prices'!E466-1</f>
        <v>1.1179365705227484E-2</v>
      </c>
      <c r="F469" s="3">
        <f>'Historical Prices'!F467/'Historical Prices'!F466-1</f>
        <v>2.1289280339438221E-3</v>
      </c>
      <c r="G469" s="9">
        <f t="shared" si="46"/>
        <v>8.5381339509279369E-3</v>
      </c>
      <c r="H469" s="6">
        <f t="shared" si="47"/>
        <v>8538.1339509279369</v>
      </c>
      <c r="I469" s="9">
        <f t="shared" si="38"/>
        <v>1.7135968308504626E-2</v>
      </c>
      <c r="J469">
        <f t="shared" si="39"/>
        <v>0</v>
      </c>
      <c r="K469" s="5">
        <f t="shared" si="40"/>
        <v>1.7861173849598757E-2</v>
      </c>
      <c r="L469">
        <f t="shared" si="41"/>
        <v>0</v>
      </c>
      <c r="M469" s="9">
        <f t="shared" si="42"/>
        <v>2.8278074425391469E-2</v>
      </c>
      <c r="N469">
        <f t="shared" si="43"/>
        <v>0</v>
      </c>
      <c r="O469" s="5">
        <f t="shared" si="44"/>
        <v>2.5606507463856891E-2</v>
      </c>
      <c r="P469">
        <f t="shared" si="45"/>
        <v>0</v>
      </c>
    </row>
    <row r="470" spans="1:16" x14ac:dyDescent="0.25">
      <c r="A470" s="2">
        <f>'Historical Prices'!A468</f>
        <v>45803</v>
      </c>
      <c r="B470" s="3">
        <f>'Historical Prices'!C468/'Historical Prices'!C467-1</f>
        <v>3.4132467692793433E-3</v>
      </c>
      <c r="C470" s="3">
        <f>'Historical Prices'!B468/'Historical Prices'!B467-1</f>
        <v>4.2143905219358402E-3</v>
      </c>
      <c r="D470" s="3">
        <f>'Historical Prices'!D468/'Historical Prices'!D467-1</f>
        <v>7.4492020906122836E-3</v>
      </c>
      <c r="E470" s="3">
        <f>'Historical Prices'!E468/'Historical Prices'!E467-1</f>
        <v>1.0033176415967571E-2</v>
      </c>
      <c r="F470" s="3">
        <f>'Historical Prices'!F468/'Historical Prices'!F467-1</f>
        <v>2.2405146119315766E-2</v>
      </c>
      <c r="G470" s="9">
        <f t="shared" si="46"/>
        <v>9.3658710275398432E-3</v>
      </c>
      <c r="H470" s="6">
        <f t="shared" si="47"/>
        <v>9365.8710275398425</v>
      </c>
      <c r="I470" s="9">
        <f t="shared" si="38"/>
        <v>1.7135968308504626E-2</v>
      </c>
      <c r="J470">
        <f t="shared" si="39"/>
        <v>0</v>
      </c>
      <c r="K470" s="5">
        <f t="shared" si="40"/>
        <v>1.7821556279059538E-2</v>
      </c>
      <c r="L470">
        <f t="shared" si="41"/>
        <v>0</v>
      </c>
      <c r="M470" s="9">
        <f t="shared" si="42"/>
        <v>2.8278074425391469E-2</v>
      </c>
      <c r="N470">
        <f t="shared" si="43"/>
        <v>0</v>
      </c>
      <c r="O470" s="5">
        <f t="shared" si="44"/>
        <v>2.5571192876840971E-2</v>
      </c>
      <c r="P470">
        <f t="shared" si="45"/>
        <v>0</v>
      </c>
    </row>
    <row r="471" spans="1:16" x14ac:dyDescent="0.25">
      <c r="A471" s="2">
        <f>'Historical Prices'!A469</f>
        <v>45804</v>
      </c>
      <c r="B471" s="3">
        <f>'Historical Prices'!C469/'Historical Prices'!C468-1</f>
        <v>-7.1641334005057011E-3</v>
      </c>
      <c r="C471" s="3">
        <f>'Historical Prices'!B469/'Historical Prices'!B468-1</f>
        <v>-1.6128986818465751E-2</v>
      </c>
      <c r="D471" s="3">
        <f>'Historical Prices'!D469/'Historical Prices'!D468-1</f>
        <v>-9.7219779294872577E-3</v>
      </c>
      <c r="E471" s="3">
        <f>'Historical Prices'!E469/'Historical Prices'!E468-1</f>
        <v>-6.5801766845888787E-3</v>
      </c>
      <c r="F471" s="3">
        <f>'Historical Prices'!F469/'Historical Prices'!F468-1</f>
        <v>-1.3116069716511802E-2</v>
      </c>
      <c r="G471" s="9">
        <f t="shared" si="46"/>
        <v>-1.0439970132510636E-2</v>
      </c>
      <c r="H471" s="6">
        <f t="shared" si="47"/>
        <v>-10439.970132510636</v>
      </c>
      <c r="I471" s="9">
        <f t="shared" si="38"/>
        <v>1.7135968308504626E-2</v>
      </c>
      <c r="J471">
        <f t="shared" si="39"/>
        <v>0</v>
      </c>
      <c r="K471" s="5">
        <f t="shared" si="40"/>
        <v>1.77982529526379E-2</v>
      </c>
      <c r="L471">
        <f t="shared" si="41"/>
        <v>0</v>
      </c>
      <c r="M471" s="9">
        <f t="shared" si="42"/>
        <v>2.8278074425391469E-2</v>
      </c>
      <c r="N471">
        <f t="shared" si="43"/>
        <v>0</v>
      </c>
      <c r="O471" s="5">
        <f t="shared" si="44"/>
        <v>2.5555915412736458E-2</v>
      </c>
      <c r="P471">
        <f t="shared" si="45"/>
        <v>0</v>
      </c>
    </row>
    <row r="472" spans="1:16" x14ac:dyDescent="0.25">
      <c r="A472" s="2">
        <f>'Historical Prices'!A470</f>
        <v>45805</v>
      </c>
      <c r="B472" s="3">
        <f>'Historical Prices'!C470/'Historical Prices'!C469-1</f>
        <v>-1.4535336380119279E-3</v>
      </c>
      <c r="C472" s="3">
        <f>'Historical Prices'!B470/'Historical Prices'!B469-1</f>
        <v>-7.5277779198168471E-4</v>
      </c>
      <c r="D472" s="3">
        <f>'Historical Prices'!D470/'Historical Prices'!D469-1</f>
        <v>5.1161748364021431E-3</v>
      </c>
      <c r="E472" s="3">
        <f>'Historical Prices'!E470/'Historical Prices'!E469-1</f>
        <v>1.0827657468202023E-3</v>
      </c>
      <c r="F472" s="3">
        <f>'Historical Prices'!F470/'Historical Prices'!F469-1</f>
        <v>-1.3816672108405648E-2</v>
      </c>
      <c r="G472" s="9">
        <f t="shared" si="46"/>
        <v>-1.7447482535012807E-3</v>
      </c>
      <c r="H472" s="6">
        <f t="shared" si="47"/>
        <v>-1744.7482535012807</v>
      </c>
      <c r="I472" s="9">
        <f t="shared" si="38"/>
        <v>1.7135968308504626E-2</v>
      </c>
      <c r="J472">
        <f t="shared" si="39"/>
        <v>0</v>
      </c>
      <c r="K472" s="5">
        <f t="shared" si="40"/>
        <v>1.780720227351363E-2</v>
      </c>
      <c r="L472">
        <f t="shared" si="41"/>
        <v>0</v>
      </c>
      <c r="M472" s="9">
        <f t="shared" si="42"/>
        <v>2.8278074425391469E-2</v>
      </c>
      <c r="N472">
        <f t="shared" si="43"/>
        <v>0</v>
      </c>
      <c r="O472" s="5">
        <f t="shared" si="44"/>
        <v>2.5509806461500507E-2</v>
      </c>
      <c r="P472">
        <f t="shared" si="45"/>
        <v>0</v>
      </c>
    </row>
    <row r="473" spans="1:16" x14ac:dyDescent="0.25">
      <c r="A473" s="2">
        <f>'Historical Prices'!A471</f>
        <v>45806</v>
      </c>
      <c r="B473" s="3">
        <f>'Historical Prices'!C471/'Historical Prices'!C470-1</f>
        <v>2.0795459508713421E-3</v>
      </c>
      <c r="C473" s="3">
        <f>'Historical Prices'!B471/'Historical Prices'!B470-1</f>
        <v>5.8592240844397292E-3</v>
      </c>
      <c r="D473" s="3">
        <f>'Historical Prices'!D471/'Historical Prices'!D470-1</f>
        <v>1.8571552784041323E-3</v>
      </c>
      <c r="E473" s="3">
        <f>'Historical Prices'!E471/'Historical Prices'!E470-1</f>
        <v>8.7797055595522089E-3</v>
      </c>
      <c r="F473" s="3">
        <f>'Historical Prices'!F471/'Historical Prices'!F470-1</f>
        <v>3.7360216496133969E-3</v>
      </c>
      <c r="G473" s="9">
        <f t="shared" si="46"/>
        <v>4.2789924462696945E-3</v>
      </c>
      <c r="H473" s="6">
        <f t="shared" si="47"/>
        <v>4278.9924462696945</v>
      </c>
      <c r="I473" s="9">
        <f t="shared" si="38"/>
        <v>1.7135968308504626E-2</v>
      </c>
      <c r="J473">
        <f t="shared" si="39"/>
        <v>0</v>
      </c>
      <c r="K473" s="5">
        <f t="shared" si="40"/>
        <v>1.7820971336170058E-2</v>
      </c>
      <c r="L473">
        <f t="shared" si="41"/>
        <v>0</v>
      </c>
      <c r="M473" s="9">
        <f t="shared" si="42"/>
        <v>2.8278074425391469E-2</v>
      </c>
      <c r="N473">
        <f t="shared" si="43"/>
        <v>0</v>
      </c>
      <c r="O473" s="5">
        <f t="shared" si="44"/>
        <v>2.5524319061038556E-2</v>
      </c>
      <c r="P473">
        <f t="shared" si="45"/>
        <v>0</v>
      </c>
    </row>
    <row r="474" spans="1:16" x14ac:dyDescent="0.25">
      <c r="A474" s="2">
        <f>'Historical Prices'!A472</f>
        <v>45807</v>
      </c>
      <c r="B474" s="3">
        <f>'Historical Prices'!C472/'Historical Prices'!C471-1</f>
        <v>9.0272033639025029E-3</v>
      </c>
      <c r="C474" s="3">
        <f>'Historical Prices'!B472/'Historical Prices'!B471-1</f>
        <v>-7.9054041679466058E-3</v>
      </c>
      <c r="D474" s="3">
        <f>'Historical Prices'!D472/'Historical Prices'!D471-1</f>
        <v>-7.3462891934809038E-3</v>
      </c>
      <c r="E474" s="3">
        <f>'Historical Prices'!E472/'Historical Prices'!E471-1</f>
        <v>-5.7560906006071111E-4</v>
      </c>
      <c r="F474" s="3">
        <f>'Historical Prices'!F472/'Historical Prices'!F471-1</f>
        <v>-1.0701206737098956E-2</v>
      </c>
      <c r="G474" s="9">
        <f t="shared" si="46"/>
        <v>-3.4024426693085455E-3</v>
      </c>
      <c r="H474" s="6">
        <f t="shared" si="47"/>
        <v>-3402.4426693085456</v>
      </c>
      <c r="I474" s="9">
        <f t="shared" si="38"/>
        <v>1.7135968308504626E-2</v>
      </c>
      <c r="J474">
        <f t="shared" si="39"/>
        <v>0</v>
      </c>
      <c r="K474" s="5">
        <f t="shared" si="40"/>
        <v>1.7813487061931966E-2</v>
      </c>
      <c r="L474">
        <f t="shared" si="41"/>
        <v>0</v>
      </c>
      <c r="M474" s="9">
        <f t="shared" si="42"/>
        <v>2.8278074425391469E-2</v>
      </c>
      <c r="N474">
        <f t="shared" si="43"/>
        <v>0</v>
      </c>
      <c r="O474" s="5">
        <f t="shared" si="44"/>
        <v>2.5518245624083325E-2</v>
      </c>
      <c r="P474">
        <f t="shared" si="45"/>
        <v>0</v>
      </c>
    </row>
    <row r="475" spans="1:16" x14ac:dyDescent="0.25">
      <c r="A475" s="2">
        <f>'Historical Prices'!A473</f>
        <v>45810</v>
      </c>
      <c r="B475" s="3">
        <f>'Historical Prices'!C473/'Historical Prices'!C472-1</f>
        <v>-6.5812616881655295E-3</v>
      </c>
      <c r="C475" s="3">
        <f>'Historical Prices'!B473/'Historical Prices'!B472-1</f>
        <v>1.8453142013297175E-3</v>
      </c>
      <c r="D475" s="3">
        <f>'Historical Prices'!D473/'Historical Prices'!D472-1</f>
        <v>3.2507805416828184E-3</v>
      </c>
      <c r="E475" s="3">
        <f>'Historical Prices'!E473/'Historical Prices'!E472-1</f>
        <v>-5.6952323091319368E-3</v>
      </c>
      <c r="F475" s="3">
        <f>'Historical Prices'!F473/'Historical Prices'!F472-1</f>
        <v>1.6494195114656662E-2</v>
      </c>
      <c r="G475" s="9">
        <f t="shared" si="46"/>
        <v>1.829772156371759E-3</v>
      </c>
      <c r="H475" s="6">
        <f t="shared" si="47"/>
        <v>1829.7721563717589</v>
      </c>
      <c r="I475" s="9">
        <f t="shared" si="38"/>
        <v>1.7135968308504626E-2</v>
      </c>
      <c r="J475">
        <f t="shared" si="39"/>
        <v>0</v>
      </c>
      <c r="K475" s="5">
        <f t="shared" si="40"/>
        <v>1.7827246164579338E-2</v>
      </c>
      <c r="L475">
        <f t="shared" si="41"/>
        <v>0</v>
      </c>
      <c r="M475" s="9">
        <f t="shared" si="42"/>
        <v>2.8278074425391469E-2</v>
      </c>
      <c r="N475">
        <f t="shared" si="43"/>
        <v>0</v>
      </c>
      <c r="O475" s="5">
        <f t="shared" si="44"/>
        <v>2.5533734430913019E-2</v>
      </c>
      <c r="P475">
        <f t="shared" si="45"/>
        <v>0</v>
      </c>
    </row>
    <row r="476" spans="1:16" x14ac:dyDescent="0.25">
      <c r="A476" s="2">
        <f>'Historical Prices'!A474</f>
        <v>45811</v>
      </c>
      <c r="B476" s="3">
        <f>'Historical Prices'!C474/'Historical Prices'!C473-1</f>
        <v>-3.8818336887964655E-3</v>
      </c>
      <c r="C476" s="3">
        <f>'Historical Prices'!B474/'Historical Prices'!B473-1</f>
        <v>-1.0800381957112193E-2</v>
      </c>
      <c r="D476" s="3">
        <f>'Historical Prices'!D474/'Historical Prices'!D473-1</f>
        <v>-8.6866984208844311E-3</v>
      </c>
      <c r="E476" s="3">
        <f>'Historical Prices'!E474/'Historical Prices'!E473-1</f>
        <v>-6.9507107785080624E-3</v>
      </c>
      <c r="F476" s="3">
        <f>'Historical Prices'!F474/'Historical Prices'!F473-1</f>
        <v>6.8079569496743986E-3</v>
      </c>
      <c r="G476" s="9">
        <f t="shared" si="46"/>
        <v>-4.7545268599061318E-3</v>
      </c>
      <c r="H476" s="6">
        <f t="shared" si="47"/>
        <v>-4754.5268599061319</v>
      </c>
      <c r="I476" s="9">
        <f t="shared" si="38"/>
        <v>1.7135968308504626E-2</v>
      </c>
      <c r="J476">
        <f t="shared" si="39"/>
        <v>0</v>
      </c>
      <c r="K476" s="5">
        <f t="shared" si="40"/>
        <v>1.768372134547912E-2</v>
      </c>
      <c r="L476">
        <f t="shared" si="41"/>
        <v>0</v>
      </c>
      <c r="M476" s="9">
        <f t="shared" si="42"/>
        <v>2.8278074425391469E-2</v>
      </c>
      <c r="N476">
        <f t="shared" si="43"/>
        <v>0</v>
      </c>
      <c r="O476" s="5">
        <f t="shared" si="44"/>
        <v>2.5359056622351613E-2</v>
      </c>
      <c r="P476">
        <f t="shared" si="45"/>
        <v>0</v>
      </c>
    </row>
    <row r="477" spans="1:16" x14ac:dyDescent="0.25">
      <c r="A477" s="2">
        <f>'Historical Prices'!A475</f>
        <v>45812</v>
      </c>
      <c r="B477" s="3">
        <f>'Historical Prices'!C475/'Historical Prices'!C474-1</f>
        <v>8.6251997163946381E-3</v>
      </c>
      <c r="C477" s="3">
        <f>'Historical Prices'!B475/'Historical Prices'!B474-1</f>
        <v>-8.8870781116393571E-3</v>
      </c>
      <c r="D477" s="3">
        <f>'Historical Prices'!D475/'Historical Prices'!D474-1</f>
        <v>-4.7986595535534082E-3</v>
      </c>
      <c r="E477" s="3">
        <f>'Historical Prices'!E475/'Historical Prices'!E474-1</f>
        <v>5.3143086118141447E-3</v>
      </c>
      <c r="F477" s="3">
        <f>'Historical Prices'!F475/'Historical Prices'!F474-1</f>
        <v>2.2649124764710926E-3</v>
      </c>
      <c r="G477" s="9">
        <f t="shared" si="46"/>
        <v>5.0034701567646745E-4</v>
      </c>
      <c r="H477" s="6">
        <f t="shared" si="47"/>
        <v>500.34701567646744</v>
      </c>
      <c r="I477" s="9">
        <f t="shared" si="38"/>
        <v>1.7135968308504626E-2</v>
      </c>
      <c r="J477">
        <f t="shared" si="39"/>
        <v>0</v>
      </c>
      <c r="K477" s="5">
        <f t="shared" si="40"/>
        <v>1.7704816182610529E-2</v>
      </c>
      <c r="L477">
        <f t="shared" si="41"/>
        <v>0</v>
      </c>
      <c r="M477" s="9">
        <f t="shared" si="42"/>
        <v>2.8278074425391469E-2</v>
      </c>
      <c r="N477">
        <f t="shared" si="43"/>
        <v>0</v>
      </c>
      <c r="O477" s="5">
        <f t="shared" si="44"/>
        <v>2.5383337920818001E-2</v>
      </c>
      <c r="P477">
        <f t="shared" si="45"/>
        <v>0</v>
      </c>
    </row>
    <row r="478" spans="1:16" x14ac:dyDescent="0.25">
      <c r="A478" s="2">
        <f>'Historical Prices'!A476</f>
        <v>45813</v>
      </c>
      <c r="B478" s="3">
        <f>'Historical Prices'!C476/'Historical Prices'!C475-1</f>
        <v>4.3271302429985781E-3</v>
      </c>
      <c r="C478" s="3">
        <f>'Historical Prices'!B476/'Historical Prices'!B475-1</f>
        <v>-1.0247613773217257E-2</v>
      </c>
      <c r="D478" s="3">
        <f>'Historical Prices'!D476/'Historical Prices'!D475-1</f>
        <v>1.663170430606975E-2</v>
      </c>
      <c r="E478" s="3">
        <f>'Historical Prices'!E476/'Historical Prices'!E475-1</f>
        <v>1.998493314153249E-3</v>
      </c>
      <c r="F478" s="3">
        <f>'Historical Prices'!F476/'Historical Prices'!F475-1</f>
        <v>-3.864520179776898E-3</v>
      </c>
      <c r="G478" s="9">
        <f t="shared" si="46"/>
        <v>2.4388110894240649E-3</v>
      </c>
      <c r="H478" s="6">
        <f t="shared" si="47"/>
        <v>2438.8110894240649</v>
      </c>
      <c r="I478" s="9">
        <f t="shared" si="38"/>
        <v>1.7135968308504626E-2</v>
      </c>
      <c r="J478">
        <f t="shared" si="39"/>
        <v>0</v>
      </c>
      <c r="K478" s="5">
        <f t="shared" si="40"/>
        <v>1.7717528203901087E-2</v>
      </c>
      <c r="L478">
        <f t="shared" si="41"/>
        <v>0</v>
      </c>
      <c r="M478" s="9">
        <f t="shared" si="42"/>
        <v>2.8278074425391469E-2</v>
      </c>
      <c r="N478">
        <f t="shared" si="43"/>
        <v>0</v>
      </c>
      <c r="O478" s="5">
        <f t="shared" si="44"/>
        <v>2.5394060558920378E-2</v>
      </c>
      <c r="P478">
        <f t="shared" si="45"/>
        <v>0</v>
      </c>
    </row>
    <row r="479" spans="1:16" x14ac:dyDescent="0.25">
      <c r="A479" s="2">
        <f>'Historical Prices'!A477</f>
        <v>45814</v>
      </c>
      <c r="B479" s="3">
        <f>'Historical Prices'!C477/'Historical Prices'!C476-1</f>
        <v>1.492620501066666E-2</v>
      </c>
      <c r="C479" s="3">
        <f>'Historical Prices'!B477/'Historical Prices'!B476-1</f>
        <v>3.0716174830759391E-2</v>
      </c>
      <c r="D479" s="3">
        <f>'Historical Prices'!D477/'Historical Prices'!D476-1</f>
        <v>3.3681236345242116E-3</v>
      </c>
      <c r="E479" s="3">
        <f>'Historical Prices'!E477/'Historical Prices'!E476-1</f>
        <v>6.1120736652047203E-3</v>
      </c>
      <c r="F479" s="3">
        <f>'Historical Prices'!F477/'Historical Prices'!F476-1</f>
        <v>2.1337360371394443E-2</v>
      </c>
      <c r="G479" s="9">
        <f t="shared" si="46"/>
        <v>1.4812414748592575E-2</v>
      </c>
      <c r="H479" s="6">
        <f t="shared" si="47"/>
        <v>14812.414748592575</v>
      </c>
      <c r="I479" s="9">
        <f t="shared" si="38"/>
        <v>1.7135968308504626E-2</v>
      </c>
      <c r="J479">
        <f t="shared" si="39"/>
        <v>0</v>
      </c>
      <c r="K479" s="5">
        <f t="shared" si="40"/>
        <v>1.7533007241118167E-2</v>
      </c>
      <c r="L479">
        <f t="shared" si="41"/>
        <v>0</v>
      </c>
      <c r="M479" s="9">
        <f t="shared" si="42"/>
        <v>2.8278074425391469E-2</v>
      </c>
      <c r="N479">
        <f t="shared" si="43"/>
        <v>0</v>
      </c>
      <c r="O479" s="5">
        <f t="shared" si="44"/>
        <v>2.5082431444165363E-2</v>
      </c>
      <c r="P479">
        <f t="shared" si="45"/>
        <v>0</v>
      </c>
    </row>
    <row r="480" spans="1:16" x14ac:dyDescent="0.25">
      <c r="A480" s="2">
        <f>'Historical Prices'!A478</f>
        <v>45817</v>
      </c>
      <c r="B480" s="3">
        <f>'Historical Prices'!C478/'Historical Prices'!C477-1</f>
        <v>1.0112430395214922E-4</v>
      </c>
      <c r="C480" s="3">
        <f>'Historical Prices'!B478/'Historical Prices'!B477-1</f>
        <v>2.1178632488429772E-2</v>
      </c>
      <c r="D480" s="3">
        <f>'Historical Prices'!D478/'Historical Prices'!D477-1</f>
        <v>-1.7058156565025961E-2</v>
      </c>
      <c r="E480" s="3">
        <f>'Historical Prices'!E478/'Historical Prices'!E477-1</f>
        <v>5.8191586413833818E-3</v>
      </c>
      <c r="F480" s="3">
        <f>'Historical Prices'!F478/'Historical Prices'!F477-1</f>
        <v>-6.1484369934108329E-3</v>
      </c>
      <c r="G480" s="9">
        <f t="shared" si="46"/>
        <v>-8.2430592322679927E-5</v>
      </c>
      <c r="H480" s="6">
        <f t="shared" si="47"/>
        <v>-82.430592322679928</v>
      </c>
      <c r="I480" s="9">
        <f t="shared" si="38"/>
        <v>1.6782212864835208E-2</v>
      </c>
      <c r="J480">
        <f t="shared" si="39"/>
        <v>0</v>
      </c>
      <c r="K480" s="5">
        <f t="shared" si="40"/>
        <v>1.6570349056938976E-2</v>
      </c>
      <c r="L480">
        <f t="shared" si="41"/>
        <v>0</v>
      </c>
      <c r="M480" s="9">
        <f t="shared" si="42"/>
        <v>2.4928888025889426E-2</v>
      </c>
      <c r="N480">
        <f t="shared" si="43"/>
        <v>0</v>
      </c>
      <c r="O480" s="5">
        <f t="shared" si="44"/>
        <v>2.3827278316290283E-2</v>
      </c>
      <c r="P480">
        <f t="shared" si="45"/>
        <v>0</v>
      </c>
    </row>
    <row r="481" spans="1:16" x14ac:dyDescent="0.25">
      <c r="A481" s="2">
        <f>'Historical Prices'!A479</f>
        <v>45818</v>
      </c>
      <c r="B481" s="3">
        <f>'Historical Prices'!C479/'Historical Prices'!C478-1</f>
        <v>-6.8725161193065043E-3</v>
      </c>
      <c r="C481" s="3">
        <f>'Historical Prices'!B479/'Historical Prices'!B478-1</f>
        <v>1.0574617530201502E-2</v>
      </c>
      <c r="D481" s="3">
        <f>'Historical Prices'!D479/'Historical Prices'!D478-1</f>
        <v>-8.2939569733740948E-3</v>
      </c>
      <c r="E481" s="3">
        <f>'Historical Prices'!E479/'Historical Prices'!E478-1</f>
        <v>1.4686236400957675E-2</v>
      </c>
      <c r="F481" s="3">
        <f>'Historical Prices'!F479/'Historical Prices'!F478-1</f>
        <v>-6.4455192525453286E-3</v>
      </c>
      <c r="G481" s="9">
        <f t="shared" si="46"/>
        <v>7.0993340590025898E-5</v>
      </c>
      <c r="H481" s="6">
        <f t="shared" si="47"/>
        <v>70.993340590025895</v>
      </c>
      <c r="I481" s="9">
        <f t="shared" si="38"/>
        <v>1.6782212864835208E-2</v>
      </c>
      <c r="J481">
        <f t="shared" si="39"/>
        <v>0</v>
      </c>
      <c r="K481" s="5">
        <f t="shared" si="40"/>
        <v>1.6165535197495407E-2</v>
      </c>
      <c r="L481">
        <f t="shared" si="41"/>
        <v>0</v>
      </c>
      <c r="M481" s="9">
        <f t="shared" si="42"/>
        <v>2.4928888025889426E-2</v>
      </c>
      <c r="N481">
        <f t="shared" si="43"/>
        <v>0</v>
      </c>
      <c r="O481" s="5">
        <f t="shared" si="44"/>
        <v>2.3182088685000189E-2</v>
      </c>
      <c r="P481">
        <f t="shared" si="45"/>
        <v>0</v>
      </c>
    </row>
    <row r="482" spans="1:16" x14ac:dyDescent="0.25">
      <c r="A482" s="2">
        <f>'Historical Prices'!A480</f>
        <v>45819</v>
      </c>
      <c r="B482" s="3">
        <f>'Historical Prices'!C480/'Historical Prices'!C479-1</f>
        <v>-7.5815121505262706E-3</v>
      </c>
      <c r="C482" s="3">
        <f>'Historical Prices'!B480/'Historical Prices'!B479-1</f>
        <v>-1.1356087428185946E-3</v>
      </c>
      <c r="D482" s="3">
        <f>'Historical Prices'!D480/'Historical Prices'!D479-1</f>
        <v>5.6926315481133916E-3</v>
      </c>
      <c r="E482" s="3">
        <f>'Historical Prices'!E480/'Historical Prices'!E479-1</f>
        <v>2.1992470808735121E-2</v>
      </c>
      <c r="F482" s="3">
        <f>'Historical Prices'!F480/'Historical Prices'!F479-1</f>
        <v>4.3031888786901895E-3</v>
      </c>
      <c r="G482" s="9">
        <f t="shared" si="46"/>
        <v>4.3747051522258678E-3</v>
      </c>
      <c r="H482" s="6">
        <f t="shared" si="47"/>
        <v>4374.705152225868</v>
      </c>
      <c r="I482" s="9">
        <f t="shared" si="38"/>
        <v>1.6782212864835208E-2</v>
      </c>
      <c r="J482">
        <f t="shared" si="39"/>
        <v>0</v>
      </c>
      <c r="K482" s="5">
        <f t="shared" si="40"/>
        <v>1.6172462355455611E-2</v>
      </c>
      <c r="L482">
        <f t="shared" si="41"/>
        <v>0</v>
      </c>
      <c r="M482" s="9">
        <f t="shared" si="42"/>
        <v>2.4928888025889426E-2</v>
      </c>
      <c r="N482">
        <f t="shared" si="43"/>
        <v>0</v>
      </c>
      <c r="O482" s="5">
        <f t="shared" si="44"/>
        <v>2.3188920975192959E-2</v>
      </c>
      <c r="P482">
        <f t="shared" si="45"/>
        <v>0</v>
      </c>
    </row>
    <row r="483" spans="1:16" x14ac:dyDescent="0.25">
      <c r="A483" s="2">
        <f>'Historical Prices'!A481</f>
        <v>45820</v>
      </c>
      <c r="B483" s="3">
        <f>'Historical Prices'!C481/'Historical Prices'!C480-1</f>
        <v>-3.5890292894168452E-3</v>
      </c>
      <c r="C483" s="3">
        <f>'Historical Prices'!B481/'Historical Prices'!B480-1</f>
        <v>-1.5023560138723635E-2</v>
      </c>
      <c r="D483" s="3">
        <f>'Historical Prices'!D481/'Historical Prices'!D480-1</f>
        <v>-4.0531430192725093E-3</v>
      </c>
      <c r="E483" s="3">
        <f>'Historical Prices'!E481/'Historical Prices'!E480-1</f>
        <v>-1.3794403336317873E-2</v>
      </c>
      <c r="F483" s="3">
        <f>'Historical Prices'!F481/'Historical Prices'!F480-1</f>
        <v>-1.9962971887452996E-2</v>
      </c>
      <c r="G483" s="9">
        <f t="shared" si="46"/>
        <v>-1.0841061718832696E-2</v>
      </c>
      <c r="H483" s="6">
        <f t="shared" si="47"/>
        <v>-10841.061718832696</v>
      </c>
      <c r="I483" s="9">
        <f t="shared" si="38"/>
        <v>1.6782212864835208E-2</v>
      </c>
      <c r="J483">
        <f t="shared" si="39"/>
        <v>0</v>
      </c>
      <c r="K483" s="5">
        <f t="shared" si="40"/>
        <v>1.606195924225208E-2</v>
      </c>
      <c r="L483">
        <f t="shared" si="41"/>
        <v>0</v>
      </c>
      <c r="M483" s="9">
        <f t="shared" si="42"/>
        <v>2.4928888025889426E-2</v>
      </c>
      <c r="N483">
        <f t="shared" si="43"/>
        <v>0</v>
      </c>
      <c r="O483" s="5">
        <f t="shared" si="44"/>
        <v>2.299746108550434E-2</v>
      </c>
      <c r="P483">
        <f t="shared" si="45"/>
        <v>0</v>
      </c>
    </row>
    <row r="484" spans="1:16" x14ac:dyDescent="0.25">
      <c r="A484" s="2">
        <f>'Historical Prices'!A482</f>
        <v>45821</v>
      </c>
      <c r="B484" s="3">
        <f>'Historical Prices'!C482/'Historical Prices'!C481-1</f>
        <v>-1.3275707891714617E-2</v>
      </c>
      <c r="C484" s="3">
        <f>'Historical Prices'!B482/'Historical Prices'!B481-1</f>
        <v>-5.8536632573052971E-3</v>
      </c>
      <c r="D484" s="3">
        <f>'Historical Prices'!D482/'Historical Prices'!D481-1</f>
        <v>-6.3850734220781691E-3</v>
      </c>
      <c r="E484" s="3">
        <f>'Historical Prices'!E482/'Historical Prices'!E481-1</f>
        <v>-4.1029435494980282E-3</v>
      </c>
      <c r="F484" s="3">
        <f>'Historical Prices'!F482/'Historical Prices'!F481-1</f>
        <v>-4.3720294885271072E-3</v>
      </c>
      <c r="G484" s="9">
        <f t="shared" si="46"/>
        <v>-6.9289674567162233E-3</v>
      </c>
      <c r="H484" s="6">
        <f t="shared" si="47"/>
        <v>-6928.9674567162228</v>
      </c>
      <c r="I484" s="9">
        <f t="shared" si="38"/>
        <v>1.6782212864835208E-2</v>
      </c>
      <c r="J484">
        <f t="shared" si="39"/>
        <v>0</v>
      </c>
      <c r="K484" s="5">
        <f t="shared" si="40"/>
        <v>1.6104990922847739E-2</v>
      </c>
      <c r="L484">
        <f t="shared" si="41"/>
        <v>0</v>
      </c>
      <c r="M484" s="9">
        <f t="shared" si="42"/>
        <v>2.4928888025889426E-2</v>
      </c>
      <c r="N484">
        <f t="shared" si="43"/>
        <v>0</v>
      </c>
      <c r="O484" s="5">
        <f t="shared" si="44"/>
        <v>2.305124747057636E-2</v>
      </c>
      <c r="P484">
        <f t="shared" si="45"/>
        <v>0</v>
      </c>
    </row>
    <row r="485" spans="1:16" x14ac:dyDescent="0.25">
      <c r="A485" s="2">
        <f>'Historical Prices'!A483</f>
        <v>45824</v>
      </c>
      <c r="B485" s="3">
        <f>'Historical Prices'!C483/'Historical Prices'!C482-1</f>
        <v>9.2823696168473635E-3</v>
      </c>
      <c r="C485" s="3">
        <f>'Historical Prices'!B483/'Historical Prices'!B482-1</f>
        <v>7.9614685809203944E-3</v>
      </c>
      <c r="D485" s="3">
        <f>'Historical Prices'!D483/'Historical Prices'!D482-1</f>
        <v>7.6266520667946924E-3</v>
      </c>
      <c r="E485" s="3">
        <f>'Historical Prices'!E483/'Historical Prices'!E482-1</f>
        <v>1.3608046711623301E-2</v>
      </c>
      <c r="F485" s="3">
        <f>'Historical Prices'!F483/'Historical Prices'!F482-1</f>
        <v>5.8550534862151782E-3</v>
      </c>
      <c r="G485" s="9">
        <f t="shared" si="46"/>
        <v>8.7968493191328979E-3</v>
      </c>
      <c r="H485" s="6">
        <f t="shared" si="47"/>
        <v>8796.849319132898</v>
      </c>
      <c r="I485" s="9">
        <f t="shared" si="38"/>
        <v>1.6782212864835208E-2</v>
      </c>
      <c r="J485">
        <f t="shared" si="39"/>
        <v>0</v>
      </c>
      <c r="K485" s="5">
        <f t="shared" si="40"/>
        <v>1.6150891597110299E-2</v>
      </c>
      <c r="L485">
        <f t="shared" si="41"/>
        <v>0</v>
      </c>
      <c r="M485" s="9">
        <f t="shared" si="42"/>
        <v>2.4928888025889426E-2</v>
      </c>
      <c r="N485">
        <f t="shared" si="43"/>
        <v>0</v>
      </c>
      <c r="O485" s="5">
        <f t="shared" si="44"/>
        <v>2.310478218831475E-2</v>
      </c>
      <c r="P485">
        <f t="shared" si="45"/>
        <v>0</v>
      </c>
    </row>
    <row r="486" spans="1:16" x14ac:dyDescent="0.25">
      <c r="A486" s="2">
        <f>'Historical Prices'!A484</f>
        <v>45825</v>
      </c>
      <c r="B486" s="3">
        <f>'Historical Prices'!C484/'Historical Prices'!C483-1</f>
        <v>-2.9967853941785805E-3</v>
      </c>
      <c r="C486" s="3">
        <f>'Historical Prices'!B484/'Historical Prices'!B483-1</f>
        <v>-2.4687162645165017E-4</v>
      </c>
      <c r="D486" s="3">
        <f>'Historical Prices'!D484/'Historical Prices'!D483-1</f>
        <v>-2.5931330137790587E-3</v>
      </c>
      <c r="E486" s="3">
        <f>'Historical Prices'!E484/'Historical Prices'!E483-1</f>
        <v>9.9150084208674549E-3</v>
      </c>
      <c r="F486" s="3">
        <f>'Historical Prices'!F484/'Historical Prices'!F483-1</f>
        <v>-5.4241224910102082E-3</v>
      </c>
      <c r="G486" s="9">
        <f t="shared" si="46"/>
        <v>-4.8810640296521142E-4</v>
      </c>
      <c r="H486" s="6">
        <f t="shared" si="47"/>
        <v>-488.10640296521143</v>
      </c>
      <c r="I486" s="9">
        <f t="shared" si="38"/>
        <v>1.6782212864835208E-2</v>
      </c>
      <c r="J486">
        <f t="shared" si="39"/>
        <v>0</v>
      </c>
      <c r="K486" s="5">
        <f t="shared" si="40"/>
        <v>1.611364654051968E-2</v>
      </c>
      <c r="L486">
        <f t="shared" si="41"/>
        <v>0</v>
      </c>
      <c r="M486" s="9">
        <f t="shared" si="42"/>
        <v>2.4928888025889426E-2</v>
      </c>
      <c r="N486">
        <f t="shared" si="43"/>
        <v>0</v>
      </c>
      <c r="O486" s="5">
        <f t="shared" si="44"/>
        <v>2.3073422997140467E-2</v>
      </c>
      <c r="P486">
        <f t="shared" si="45"/>
        <v>0</v>
      </c>
    </row>
    <row r="487" spans="1:16" x14ac:dyDescent="0.25">
      <c r="A487" s="2">
        <f>'Historical Prices'!A485</f>
        <v>45826</v>
      </c>
      <c r="B487" s="3">
        <f>'Historical Prices'!C485/'Historical Prices'!C484-1</f>
        <v>2.2284856400167641E-3</v>
      </c>
      <c r="C487" s="3">
        <f>'Historical Prices'!B485/'Historical Prices'!B484-1</f>
        <v>4.8556365079863717E-3</v>
      </c>
      <c r="D487" s="3">
        <f>'Historical Prices'!D485/'Historical Prices'!D484-1</f>
        <v>-7.4480120911437631E-3</v>
      </c>
      <c r="E487" s="3">
        <f>'Historical Prices'!E485/'Historical Prices'!E484-1</f>
        <v>-4.2685471551188181E-3</v>
      </c>
      <c r="F487" s="3">
        <f>'Historical Prices'!F485/'Historical Prices'!F484-1</f>
        <v>1.1273011690383639E-2</v>
      </c>
      <c r="G487" s="9">
        <f t="shared" si="46"/>
        <v>1.0541269700817825E-3</v>
      </c>
      <c r="H487" s="6">
        <f t="shared" si="47"/>
        <v>1054.1269700817825</v>
      </c>
      <c r="I487" s="9">
        <f t="shared" si="38"/>
        <v>1.6782212864835208E-2</v>
      </c>
      <c r="J487">
        <f t="shared" si="39"/>
        <v>0</v>
      </c>
      <c r="K487" s="5">
        <f t="shared" si="40"/>
        <v>1.6125137575283145E-2</v>
      </c>
      <c r="L487">
        <f t="shared" si="41"/>
        <v>0</v>
      </c>
      <c r="M487" s="9">
        <f t="shared" si="42"/>
        <v>2.4928888025889426E-2</v>
      </c>
      <c r="N487">
        <f t="shared" si="43"/>
        <v>0</v>
      </c>
      <c r="O487" s="5">
        <f t="shared" si="44"/>
        <v>2.3084621259414045E-2</v>
      </c>
      <c r="P487">
        <f t="shared" si="45"/>
        <v>0</v>
      </c>
    </row>
    <row r="488" spans="1:16" x14ac:dyDescent="0.25">
      <c r="A488" s="2">
        <f>'Historical Prices'!A486</f>
        <v>45827</v>
      </c>
      <c r="B488" s="3">
        <f>'Historical Prices'!C486/'Historical Prices'!C485-1</f>
        <v>7.2387816605656852E-4</v>
      </c>
      <c r="C488" s="3">
        <f>'Historical Prices'!B486/'Historical Prices'!B485-1</f>
        <v>-2.8665587175890073E-3</v>
      </c>
      <c r="D488" s="3">
        <f>'Historical Prices'!D486/'Historical Prices'!D485-1</f>
        <v>-9.2013899561005363E-4</v>
      </c>
      <c r="E488" s="3">
        <f>'Historical Prices'!E486/'Historical Prices'!E485-1</f>
        <v>-8.8799114017237279E-3</v>
      </c>
      <c r="F488" s="3">
        <f>'Historical Prices'!F486/'Historical Prices'!F485-1</f>
        <v>1.7658042192559398E-2</v>
      </c>
      <c r="G488" s="9">
        <f t="shared" si="46"/>
        <v>1.1864080511424175E-3</v>
      </c>
      <c r="H488" s="6">
        <f t="shared" si="47"/>
        <v>1186.4080511424174</v>
      </c>
      <c r="I488" s="9">
        <f t="shared" si="38"/>
        <v>1.6782212864835208E-2</v>
      </c>
      <c r="J488">
        <f t="shared" si="39"/>
        <v>0</v>
      </c>
      <c r="K488" s="5">
        <f t="shared" si="40"/>
        <v>1.6135970841233613E-2</v>
      </c>
      <c r="L488">
        <f t="shared" si="41"/>
        <v>0</v>
      </c>
      <c r="M488" s="9">
        <f t="shared" si="42"/>
        <v>2.4928888025889426E-2</v>
      </c>
      <c r="N488">
        <f t="shared" si="43"/>
        <v>0</v>
      </c>
      <c r="O488" s="5">
        <f t="shared" si="44"/>
        <v>2.3090597501309113E-2</v>
      </c>
      <c r="P488">
        <f t="shared" si="45"/>
        <v>0</v>
      </c>
    </row>
    <row r="489" spans="1:16" x14ac:dyDescent="0.25">
      <c r="A489" s="2">
        <f>'Historical Prices'!A487</f>
        <v>45828</v>
      </c>
      <c r="B489" s="3">
        <f>'Historical Prices'!C487/'Historical Prices'!C486-1</f>
        <v>1.5191485224747447E-2</v>
      </c>
      <c r="C489" s="3">
        <f>'Historical Prices'!B487/'Historical Prices'!B486-1</f>
        <v>2.6283536816835706E-3</v>
      </c>
      <c r="D489" s="3">
        <f>'Historical Prices'!D487/'Historical Prices'!D486-1</f>
        <v>1.119528533703118E-2</v>
      </c>
      <c r="E489" s="3">
        <f>'Historical Prices'!E487/'Historical Prices'!E486-1</f>
        <v>2.7805146005766002E-3</v>
      </c>
      <c r="F489" s="3">
        <f>'Historical Prices'!F487/'Historical Prices'!F486-1</f>
        <v>2.8951793724225183E-2</v>
      </c>
      <c r="G489" s="9">
        <f t="shared" si="46"/>
        <v>1.2335076842255852E-2</v>
      </c>
      <c r="H489" s="6">
        <f t="shared" si="47"/>
        <v>12335.076842255852</v>
      </c>
      <c r="I489" s="9">
        <f t="shared" si="38"/>
        <v>1.6782212864835208E-2</v>
      </c>
      <c r="J489">
        <f t="shared" si="39"/>
        <v>0</v>
      </c>
      <c r="K489" s="5">
        <f t="shared" si="40"/>
        <v>1.6142850750895252E-2</v>
      </c>
      <c r="L489">
        <f t="shared" si="41"/>
        <v>0</v>
      </c>
      <c r="M489" s="9">
        <f t="shared" si="42"/>
        <v>2.4928888025889426E-2</v>
      </c>
      <c r="N489">
        <f t="shared" si="43"/>
        <v>0</v>
      </c>
      <c r="O489" s="5">
        <f t="shared" si="44"/>
        <v>2.308568454532443E-2</v>
      </c>
      <c r="P489">
        <f t="shared" si="45"/>
        <v>0</v>
      </c>
    </row>
    <row r="490" spans="1:16" x14ac:dyDescent="0.25">
      <c r="A490" s="2">
        <f>'Historical Prices'!A488</f>
        <v>45831</v>
      </c>
      <c r="B490" s="3">
        <f>'Historical Prices'!C488/'Historical Prices'!C487-1</f>
        <v>-8.2964857751621768E-3</v>
      </c>
      <c r="C490" s="3">
        <f>'Historical Prices'!B488/'Historical Prices'!B487-1</f>
        <v>-5.4067936091258817E-3</v>
      </c>
      <c r="D490" s="3">
        <f>'Historical Prices'!D488/'Historical Prices'!D487-1</f>
        <v>-4.9050355084617747E-3</v>
      </c>
      <c r="E490" s="3">
        <f>'Historical Prices'!E488/'Historical Prices'!E487-1</f>
        <v>-2.3969441801684144E-2</v>
      </c>
      <c r="F490" s="3">
        <f>'Historical Prices'!F488/'Historical Prices'!F487-1</f>
        <v>-1.5513074863044318E-2</v>
      </c>
      <c r="G490" s="9">
        <f t="shared" si="46"/>
        <v>-1.1270483968753369E-2</v>
      </c>
      <c r="H490" s="6">
        <f t="shared" si="47"/>
        <v>-11270.483968753369</v>
      </c>
      <c r="I490" s="9">
        <f t="shared" si="38"/>
        <v>1.6782212864835208E-2</v>
      </c>
      <c r="J490">
        <f t="shared" si="39"/>
        <v>0</v>
      </c>
      <c r="K490" s="5">
        <f t="shared" si="40"/>
        <v>1.6124645441007172E-2</v>
      </c>
      <c r="L490">
        <f t="shared" si="41"/>
        <v>0</v>
      </c>
      <c r="M490" s="9">
        <f t="shared" si="42"/>
        <v>2.4928888025889426E-2</v>
      </c>
      <c r="N490">
        <f t="shared" si="43"/>
        <v>0</v>
      </c>
      <c r="O490" s="5">
        <f t="shared" si="44"/>
        <v>2.3053695524026117E-2</v>
      </c>
      <c r="P490">
        <f t="shared" si="45"/>
        <v>0</v>
      </c>
    </row>
    <row r="491" spans="1:16" x14ac:dyDescent="0.25">
      <c r="A491" s="2">
        <f>'Historical Prices'!A489</f>
        <v>45832</v>
      </c>
      <c r="B491" s="3">
        <f>'Historical Prices'!C489/'Historical Prices'!C488-1</f>
        <v>6.4155556067642117E-3</v>
      </c>
      <c r="C491" s="3">
        <f>'Historical Prices'!B489/'Historical Prices'!B488-1</f>
        <v>5.8479785404592644E-3</v>
      </c>
      <c r="D491" s="3">
        <f>'Historical Prices'!D489/'Historical Prices'!D488-1</f>
        <v>2.8166809356950928E-3</v>
      </c>
      <c r="E491" s="3">
        <f>'Historical Prices'!E489/'Historical Prices'!E488-1</f>
        <v>-1.5152157074027617E-3</v>
      </c>
      <c r="F491" s="3">
        <f>'Historical Prices'!F489/'Historical Prices'!F488-1</f>
        <v>4.8165855731843177E-3</v>
      </c>
      <c r="G491" s="9">
        <f t="shared" si="46"/>
        <v>3.72070123679522E-3</v>
      </c>
      <c r="H491" s="6">
        <f t="shared" si="47"/>
        <v>3720.7012367952202</v>
      </c>
      <c r="I491" s="9">
        <f t="shared" si="38"/>
        <v>1.6782212864835208E-2</v>
      </c>
      <c r="J491">
        <f t="shared" si="39"/>
        <v>0</v>
      </c>
      <c r="K491" s="5">
        <f t="shared" si="40"/>
        <v>1.622323863567595E-2</v>
      </c>
      <c r="L491">
        <f t="shared" si="41"/>
        <v>0</v>
      </c>
      <c r="M491" s="9">
        <f t="shared" si="42"/>
        <v>2.4928888025889426E-2</v>
      </c>
      <c r="N491">
        <f t="shared" si="43"/>
        <v>0</v>
      </c>
      <c r="O491" s="5">
        <f t="shared" si="44"/>
        <v>2.3170773774254225E-2</v>
      </c>
      <c r="P491">
        <f t="shared" si="45"/>
        <v>0</v>
      </c>
    </row>
    <row r="492" spans="1:16" x14ac:dyDescent="0.25">
      <c r="A492" s="2">
        <f>'Historical Prices'!A490</f>
        <v>45833</v>
      </c>
      <c r="B492" s="3">
        <f>'Historical Prices'!C490/'Historical Prices'!C489-1</f>
        <v>9.8424277719126874E-3</v>
      </c>
      <c r="C492" s="3">
        <f>'Historical Prices'!B490/'Historical Prices'!B489-1</f>
        <v>-6.4690761001519048E-3</v>
      </c>
      <c r="D492" s="3">
        <f>'Historical Prices'!D490/'Historical Prices'!D489-1</f>
        <v>1.1937161610562352E-3</v>
      </c>
      <c r="E492" s="3">
        <f>'Historical Prices'!E490/'Historical Prices'!E489-1</f>
        <v>2.1054670972229683E-2</v>
      </c>
      <c r="F492" s="3">
        <f>'Historical Prices'!F490/'Historical Prices'!F489-1</f>
        <v>2.0761190221609827E-2</v>
      </c>
      <c r="G492" s="9">
        <f t="shared" si="46"/>
        <v>9.0377067008983875E-3</v>
      </c>
      <c r="H492" s="6">
        <f t="shared" si="47"/>
        <v>9037.7067008983868</v>
      </c>
      <c r="I492" s="9">
        <f t="shared" si="38"/>
        <v>1.6782212864835208E-2</v>
      </c>
      <c r="J492">
        <f t="shared" si="39"/>
        <v>0</v>
      </c>
      <c r="K492" s="5">
        <f t="shared" si="40"/>
        <v>1.6209750582496994E-2</v>
      </c>
      <c r="L492">
        <f t="shared" si="41"/>
        <v>0</v>
      </c>
      <c r="M492" s="9">
        <f t="shared" si="42"/>
        <v>2.4928888025889426E-2</v>
      </c>
      <c r="N492">
        <f t="shared" si="43"/>
        <v>0</v>
      </c>
      <c r="O492" s="5">
        <f t="shared" si="44"/>
        <v>2.3158512241351532E-2</v>
      </c>
      <c r="P492">
        <f t="shared" si="45"/>
        <v>0</v>
      </c>
    </row>
    <row r="493" spans="1:16" x14ac:dyDescent="0.25">
      <c r="A493" s="2">
        <f>'Historical Prices'!A491</f>
        <v>45834</v>
      </c>
      <c r="B493" s="3">
        <f>'Historical Prices'!C491/'Historical Prices'!C490-1</f>
        <v>2.1008014016351328E-2</v>
      </c>
      <c r="C493" s="3">
        <f>'Historical Prices'!B491/'Historical Prices'!B490-1</f>
        <v>1.6648841458911212E-2</v>
      </c>
      <c r="D493" s="3">
        <f>'Historical Prices'!D491/'Historical Prices'!D490-1</f>
        <v>9.3280562946003176E-3</v>
      </c>
      <c r="E493" s="3">
        <f>'Historical Prices'!E491/'Historical Prices'!E490-1</f>
        <v>6.8113006275405397E-4</v>
      </c>
      <c r="F493" s="3">
        <f>'Historical Prices'!F491/'Historical Prices'!F490-1</f>
        <v>9.3349284949972855E-5</v>
      </c>
      <c r="G493" s="9">
        <f t="shared" si="46"/>
        <v>9.7605691778588615E-3</v>
      </c>
      <c r="H493" s="6">
        <f t="shared" si="47"/>
        <v>9760.5691778588607</v>
      </c>
      <c r="I493" s="9">
        <f t="shared" si="38"/>
        <v>1.6782212864835208E-2</v>
      </c>
      <c r="J493">
        <f t="shared" si="39"/>
        <v>0</v>
      </c>
      <c r="K493" s="5">
        <f t="shared" si="40"/>
        <v>1.621135462365144E-2</v>
      </c>
      <c r="L493">
        <f t="shared" si="41"/>
        <v>0</v>
      </c>
      <c r="M493" s="9">
        <f t="shared" si="42"/>
        <v>2.4928888025889426E-2</v>
      </c>
      <c r="N493">
        <f t="shared" si="43"/>
        <v>0</v>
      </c>
      <c r="O493" s="5">
        <f t="shared" si="44"/>
        <v>2.3165500891788503E-2</v>
      </c>
      <c r="P493">
        <f t="shared" si="45"/>
        <v>0</v>
      </c>
    </row>
    <row r="494" spans="1:16" x14ac:dyDescent="0.25">
      <c r="A494" s="2">
        <f>'Historical Prices'!A492</f>
        <v>45835</v>
      </c>
      <c r="B494" s="3">
        <f>'Historical Prices'!C492/'Historical Prices'!C491-1</f>
        <v>7.5507232574456573E-3</v>
      </c>
      <c r="C494" s="3">
        <f>'Historical Prices'!B492/'Historical Prices'!B491-1</f>
        <v>-6.809884954269263E-3</v>
      </c>
      <c r="D494" s="3">
        <f>'Historical Prices'!D492/'Historical Prices'!D491-1</f>
        <v>1.6051671251746003E-2</v>
      </c>
      <c r="E494" s="3">
        <f>'Historical Prices'!E492/'Historical Prices'!E491-1</f>
        <v>-4.950443847486885E-3</v>
      </c>
      <c r="F494" s="3">
        <f>'Historical Prices'!F492/'Historical Prices'!F491-1</f>
        <v>-3.8870509483309723E-3</v>
      </c>
      <c r="G494" s="9">
        <f t="shared" si="46"/>
        <v>2.3340244300344851E-3</v>
      </c>
      <c r="H494" s="6">
        <f t="shared" si="47"/>
        <v>2334.0244300344852</v>
      </c>
      <c r="I494" s="9">
        <f t="shared" si="38"/>
        <v>1.6782212864835208E-2</v>
      </c>
      <c r="J494">
        <f t="shared" si="39"/>
        <v>0</v>
      </c>
      <c r="K494" s="5">
        <f t="shared" si="40"/>
        <v>1.6171645329013506E-2</v>
      </c>
      <c r="L494">
        <f t="shared" si="41"/>
        <v>0</v>
      </c>
      <c r="M494" s="9">
        <f t="shared" si="42"/>
        <v>2.4928888025889426E-2</v>
      </c>
      <c r="N494">
        <f t="shared" si="43"/>
        <v>0</v>
      </c>
      <c r="O494" s="5">
        <f t="shared" si="44"/>
        <v>2.3095360340058619E-2</v>
      </c>
      <c r="P494">
        <f t="shared" si="45"/>
        <v>0</v>
      </c>
    </row>
    <row r="495" spans="1:16" x14ac:dyDescent="0.25">
      <c r="A495" s="2">
        <f>'Historical Prices'!A493</f>
        <v>45838</v>
      </c>
      <c r="B495" s="3">
        <f>'Historical Prices'!C493/'Historical Prices'!C492-1</f>
        <v>-6.6504725046527824E-3</v>
      </c>
      <c r="C495" s="3">
        <f>'Historical Prices'!B493/'Historical Prices'!B492-1</f>
        <v>-2.1141205314878397E-2</v>
      </c>
      <c r="D495" s="3">
        <f>'Historical Prices'!D493/'Historical Prices'!D492-1</f>
        <v>-1.1215846680451613E-2</v>
      </c>
      <c r="E495" s="3">
        <f>'Historical Prices'!E493/'Historical Prices'!E492-1</f>
        <v>-3.8557206878605532E-3</v>
      </c>
      <c r="F495" s="3">
        <f>'Historical Prices'!F493/'Historical Prices'!F492-1</f>
        <v>-6.2748061544882772E-3</v>
      </c>
      <c r="G495" s="9">
        <f t="shared" si="46"/>
        <v>-9.7737239935058676E-3</v>
      </c>
      <c r="H495" s="6">
        <f t="shared" si="47"/>
        <v>-9773.7239935058678</v>
      </c>
      <c r="I495" s="9">
        <f t="shared" si="38"/>
        <v>1.6782212864835208E-2</v>
      </c>
      <c r="J495">
        <f t="shared" si="39"/>
        <v>0</v>
      </c>
      <c r="K495" s="5">
        <f t="shared" si="40"/>
        <v>1.6165896349622299E-2</v>
      </c>
      <c r="L495">
        <f t="shared" si="41"/>
        <v>0</v>
      </c>
      <c r="M495" s="9">
        <f t="shared" si="42"/>
        <v>2.4928888025889426E-2</v>
      </c>
      <c r="N495">
        <f t="shared" si="43"/>
        <v>0</v>
      </c>
      <c r="O495" s="5">
        <f t="shared" si="44"/>
        <v>2.3090042321308613E-2</v>
      </c>
      <c r="P495">
        <f t="shared" si="45"/>
        <v>0</v>
      </c>
    </row>
    <row r="496" spans="1:16" x14ac:dyDescent="0.25">
      <c r="A496" s="2">
        <f>'Historical Prices'!A494</f>
        <v>45839</v>
      </c>
      <c r="B496" s="3">
        <f>'Historical Prices'!C494/'Historical Prices'!C493-1</f>
        <v>5.296008397041696E-3</v>
      </c>
      <c r="C496" s="3">
        <f>'Historical Prices'!B494/'Historical Prices'!B493-1</f>
        <v>-2.1597605112535057E-2</v>
      </c>
      <c r="D496" s="3">
        <f>'Historical Prices'!D494/'Historical Prices'!D493-1</f>
        <v>-9.5449636539435279E-3</v>
      </c>
      <c r="E496" s="3">
        <f>'Historical Prices'!E494/'Historical Prices'!E493-1</f>
        <v>3.1215744516728261E-3</v>
      </c>
      <c r="F496" s="3">
        <f>'Historical Prices'!F494/'Historical Prices'!F493-1</f>
        <v>-2.2303817383227953E-3</v>
      </c>
      <c r="G496" s="9">
        <f t="shared" si="46"/>
        <v>-4.8958762771468363E-3</v>
      </c>
      <c r="H496" s="6">
        <f t="shared" si="47"/>
        <v>-4895.8762771468364</v>
      </c>
      <c r="I496" s="9">
        <f t="shared" si="38"/>
        <v>1.6782212864835208E-2</v>
      </c>
      <c r="J496">
        <f t="shared" si="39"/>
        <v>0</v>
      </c>
      <c r="K496" s="5">
        <f t="shared" si="40"/>
        <v>1.6253736169866171E-2</v>
      </c>
      <c r="L496">
        <f t="shared" si="41"/>
        <v>0</v>
      </c>
      <c r="M496" s="9">
        <f t="shared" si="42"/>
        <v>2.4928888025889426E-2</v>
      </c>
      <c r="N496">
        <f t="shared" si="43"/>
        <v>0</v>
      </c>
      <c r="O496" s="5">
        <f t="shared" si="44"/>
        <v>2.3187072411185929E-2</v>
      </c>
      <c r="P496">
        <f t="shared" si="45"/>
        <v>0</v>
      </c>
    </row>
    <row r="497" spans="1:16" x14ac:dyDescent="0.25">
      <c r="A497" s="2">
        <f>'Historical Prices'!A495</f>
        <v>45840</v>
      </c>
      <c r="B497" s="3">
        <f>'Historical Prices'!C495/'Historical Prices'!C494-1</f>
        <v>-1.2971503743565704E-2</v>
      </c>
      <c r="C497" s="3">
        <f>'Historical Prices'!B495/'Historical Prices'!B494-1</f>
        <v>1.704552678150062E-3</v>
      </c>
      <c r="D497" s="3">
        <f>'Historical Prices'!D495/'Historical Prices'!D494-1</f>
        <v>-2.9329163706921513E-3</v>
      </c>
      <c r="E497" s="3">
        <f>'Historical Prices'!E495/'Historical Prices'!E494-1</f>
        <v>2.3026302309974156E-3</v>
      </c>
      <c r="F497" s="3">
        <f>'Historical Prices'!F495/'Historical Prices'!F494-1</f>
        <v>-3.4320160620106011E-3</v>
      </c>
      <c r="G497" s="9">
        <f t="shared" si="46"/>
        <v>-3.3239072610149918E-3</v>
      </c>
      <c r="H497" s="6">
        <f t="shared" si="47"/>
        <v>-3323.9072610149919</v>
      </c>
      <c r="I497" s="9">
        <f t="shared" si="38"/>
        <v>1.6782212864835208E-2</v>
      </c>
      <c r="J497">
        <f t="shared" si="39"/>
        <v>0</v>
      </c>
      <c r="K497" s="5">
        <f t="shared" si="40"/>
        <v>1.6196088742226264E-2</v>
      </c>
      <c r="L497">
        <f t="shared" si="41"/>
        <v>0</v>
      </c>
      <c r="M497" s="9">
        <f t="shared" si="42"/>
        <v>2.4928888025889426E-2</v>
      </c>
      <c r="N497">
        <f t="shared" si="43"/>
        <v>0</v>
      </c>
      <c r="O497" s="5">
        <f t="shared" si="44"/>
        <v>2.3115619709025668E-2</v>
      </c>
      <c r="P497">
        <f t="shared" si="45"/>
        <v>0</v>
      </c>
    </row>
    <row r="498" spans="1:16" x14ac:dyDescent="0.25">
      <c r="A498" s="2">
        <f>'Historical Prices'!A496</f>
        <v>45841</v>
      </c>
      <c r="B498" s="3">
        <f>'Historical Prices'!C496/'Historical Prices'!C495-1</f>
        <v>5.5384081905796023E-4</v>
      </c>
      <c r="C498" s="3">
        <f>'Historical Prices'!B496/'Historical Prices'!B495-1</f>
        <v>-3.5736046988364967E-3</v>
      </c>
      <c r="D498" s="3">
        <f>'Historical Prices'!D496/'Historical Prices'!D495-1</f>
        <v>-1.3307624546884389E-3</v>
      </c>
      <c r="E498" s="3">
        <f>'Historical Prices'!E496/'Historical Prices'!E495-1</f>
        <v>5.091572833707092E-3</v>
      </c>
      <c r="F498" s="3">
        <f>'Historical Prices'!F496/'Historical Prices'!F495-1</f>
        <v>2.9066592707069905E-3</v>
      </c>
      <c r="G498" s="9">
        <f t="shared" si="46"/>
        <v>6.5365079494147319E-4</v>
      </c>
      <c r="H498" s="6">
        <f t="shared" si="47"/>
        <v>653.65079494147324</v>
      </c>
      <c r="I498" s="9">
        <f t="shared" si="38"/>
        <v>1.6782212864835208E-2</v>
      </c>
      <c r="J498">
        <f t="shared" si="39"/>
        <v>0</v>
      </c>
      <c r="K498" s="5">
        <f t="shared" si="40"/>
        <v>1.6227738813008832E-2</v>
      </c>
      <c r="L498">
        <f t="shared" si="41"/>
        <v>0</v>
      </c>
      <c r="M498" s="9">
        <f t="shared" si="42"/>
        <v>2.4928888025889426E-2</v>
      </c>
      <c r="N498">
        <f t="shared" si="43"/>
        <v>0</v>
      </c>
      <c r="O498" s="5">
        <f t="shared" si="44"/>
        <v>2.314167597988993E-2</v>
      </c>
      <c r="P498">
        <f t="shared" si="45"/>
        <v>0</v>
      </c>
    </row>
    <row r="499" spans="1:16" x14ac:dyDescent="0.25">
      <c r="A499" s="2">
        <f>'Historical Prices'!A497</f>
        <v>45842</v>
      </c>
      <c r="B499" s="3">
        <f>'Historical Prices'!C497/'Historical Prices'!C496-1</f>
        <v>1.1071937040580959E-3</v>
      </c>
      <c r="C499" s="3">
        <f>'Historical Prices'!B497/'Historical Prices'!B496-1</f>
        <v>6.4097450927489419E-3</v>
      </c>
      <c r="D499" s="3">
        <f>'Historical Prices'!D497/'Historical Prices'!D496-1</f>
        <v>1.1852234252772043E-2</v>
      </c>
      <c r="E499" s="3">
        <f>'Historical Prices'!E497/'Historical Prices'!E496-1</f>
        <v>1.3591090485032042E-2</v>
      </c>
      <c r="F499" s="3">
        <f>'Historical Prices'!F497/'Historical Prices'!F496-1</f>
        <v>4.2551841352671538E-3</v>
      </c>
      <c r="G499" s="9">
        <f t="shared" si="46"/>
        <v>7.4417748910416267E-3</v>
      </c>
      <c r="H499" s="6">
        <f t="shared" si="47"/>
        <v>7441.7748910416267</v>
      </c>
      <c r="I499" s="9">
        <f t="shared" si="38"/>
        <v>1.6782212864835208E-2</v>
      </c>
      <c r="J499">
        <f t="shared" si="39"/>
        <v>0</v>
      </c>
      <c r="K499" s="5">
        <f t="shared" si="40"/>
        <v>1.6227843514389679E-2</v>
      </c>
      <c r="L499">
        <f t="shared" si="41"/>
        <v>0</v>
      </c>
      <c r="M499" s="9">
        <f t="shared" si="42"/>
        <v>2.4928888025889426E-2</v>
      </c>
      <c r="N499">
        <f t="shared" si="43"/>
        <v>0</v>
      </c>
      <c r="O499" s="5">
        <f t="shared" si="44"/>
        <v>2.3141779164658243E-2</v>
      </c>
      <c r="P499">
        <f t="shared" si="45"/>
        <v>0</v>
      </c>
    </row>
    <row r="500" spans="1:16" x14ac:dyDescent="0.25">
      <c r="A500" s="2">
        <f>'Historical Prices'!A498</f>
        <v>45845</v>
      </c>
      <c r="B500" s="3">
        <f>'Historical Prices'!C498/'Historical Prices'!C497-1</f>
        <v>-9.5513814796999164E-4</v>
      </c>
      <c r="C500" s="3">
        <f>'Historical Prices'!B498/'Historical Prices'!B497-1</f>
        <v>-2.1229393954954601E-3</v>
      </c>
      <c r="D500" s="3">
        <f>'Historical Prices'!D498/'Historical Prices'!D497-1</f>
        <v>-4.9211309599299646E-3</v>
      </c>
      <c r="E500" s="3">
        <f>'Historical Prices'!E498/'Historical Prices'!E497-1</f>
        <v>-8.3499503996196101E-3</v>
      </c>
      <c r="F500" s="3">
        <f>'Historical Prices'!F498/'Historical Prices'!F497-1</f>
        <v>-7.2728089697615683E-4</v>
      </c>
      <c r="G500" s="9">
        <f t="shared" si="46"/>
        <v>-3.3930139117574636E-3</v>
      </c>
      <c r="H500" s="6">
        <f t="shared" si="47"/>
        <v>-3393.0139117574636</v>
      </c>
      <c r="I500" s="9">
        <f t="shared" si="38"/>
        <v>1.6782212864835208E-2</v>
      </c>
      <c r="J500">
        <f t="shared" si="39"/>
        <v>0</v>
      </c>
      <c r="K500" s="5">
        <f t="shared" si="40"/>
        <v>1.6217711816070846E-2</v>
      </c>
      <c r="L500">
        <f t="shared" si="41"/>
        <v>0</v>
      </c>
      <c r="M500" s="9">
        <f t="shared" si="42"/>
        <v>2.4928888025889426E-2</v>
      </c>
      <c r="N500">
        <f t="shared" si="43"/>
        <v>0</v>
      </c>
      <c r="O500" s="5">
        <f t="shared" si="44"/>
        <v>2.311951595035476E-2</v>
      </c>
      <c r="P500">
        <f t="shared" si="45"/>
        <v>0</v>
      </c>
    </row>
    <row r="501" spans="1:16" x14ac:dyDescent="0.25">
      <c r="A501" s="2">
        <f>'Historical Prices'!A499</f>
        <v>45846</v>
      </c>
      <c r="B501" s="3">
        <f>'Historical Prices'!C499/'Historical Prices'!C498-1</f>
        <v>7.0443843408884987E-3</v>
      </c>
      <c r="C501" s="3">
        <f>'Historical Prices'!B499/'Historical Prices'!B498-1</f>
        <v>-8.2545994121423494E-3</v>
      </c>
      <c r="D501" s="3">
        <f>'Historical Prices'!D499/'Historical Prices'!D498-1</f>
        <v>4.3881666817293663E-3</v>
      </c>
      <c r="E501" s="3">
        <f>'Historical Prices'!E499/'Historical Prices'!E498-1</f>
        <v>7.1910157130696817E-3</v>
      </c>
      <c r="F501" s="3">
        <f>'Historical Prices'!F499/'Historical Prices'!F498-1</f>
        <v>-7.2781021944534618E-4</v>
      </c>
      <c r="G501" s="9">
        <f t="shared" si="46"/>
        <v>2.1474603105084548E-3</v>
      </c>
      <c r="H501" s="6">
        <f t="shared" si="47"/>
        <v>2147.4603105084548</v>
      </c>
      <c r="I501" s="9">
        <f t="shared" si="38"/>
        <v>1.6782212864835208E-2</v>
      </c>
      <c r="J501">
        <f t="shared" si="39"/>
        <v>0</v>
      </c>
      <c r="K501" s="5">
        <f t="shared" si="40"/>
        <v>1.6249588123032708E-2</v>
      </c>
      <c r="L501">
        <f t="shared" si="41"/>
        <v>0</v>
      </c>
      <c r="M501" s="9">
        <f t="shared" si="42"/>
        <v>2.4928888025889426E-2</v>
      </c>
      <c r="N501">
        <f t="shared" si="43"/>
        <v>0</v>
      </c>
      <c r="O501" s="5">
        <f t="shared" si="44"/>
        <v>2.3149947763447074E-2</v>
      </c>
      <c r="P501">
        <f t="shared" si="45"/>
        <v>0</v>
      </c>
    </row>
    <row r="502" spans="1:16" x14ac:dyDescent="0.25">
      <c r="A502" s="2">
        <f>'Historical Prices'!A500</f>
        <v>45847</v>
      </c>
      <c r="B502" s="3">
        <f>'Historical Prices'!C500/'Historical Prices'!C499-1</f>
        <v>4.8965508153810955E-3</v>
      </c>
      <c r="C502" s="3">
        <f>'Historical Prices'!B500/'Historical Prices'!B499-1</f>
        <v>-6.007589416751058E-4</v>
      </c>
      <c r="D502" s="3">
        <f>'Historical Prices'!D500/'Historical Prices'!D499-1</f>
        <v>-7.0040525917302032E-3</v>
      </c>
      <c r="E502" s="3">
        <f>'Historical Prices'!E500/'Historical Prices'!E499-1</f>
        <v>-3.0511289532568764E-3</v>
      </c>
      <c r="F502" s="3">
        <f>'Historical Prices'!F500/'Historical Prices'!F499-1</f>
        <v>5.8267225037469395E-3</v>
      </c>
      <c r="G502" s="9">
        <f t="shared" si="46"/>
        <v>-1.1482367128928025E-4</v>
      </c>
      <c r="H502" s="6">
        <f t="shared" si="47"/>
        <v>-114.82367128928024</v>
      </c>
      <c r="I502" s="9">
        <f t="shared" si="38"/>
        <v>1.6782212864835208E-2</v>
      </c>
      <c r="J502">
        <f t="shared" si="39"/>
        <v>0</v>
      </c>
      <c r="K502" s="5">
        <f t="shared" si="40"/>
        <v>1.6175845641044986E-2</v>
      </c>
      <c r="L502">
        <f t="shared" si="41"/>
        <v>0</v>
      </c>
      <c r="M502" s="9">
        <f t="shared" si="42"/>
        <v>2.4928888025889426E-2</v>
      </c>
      <c r="N502">
        <f t="shared" si="43"/>
        <v>0</v>
      </c>
      <c r="O502" s="5">
        <f t="shared" si="44"/>
        <v>2.3064305722044546E-2</v>
      </c>
      <c r="P502">
        <f t="shared" si="45"/>
        <v>0</v>
      </c>
    </row>
    <row r="503" spans="1:16" x14ac:dyDescent="0.25">
      <c r="A503" s="2">
        <f>'Historical Prices'!A501</f>
        <v>45848</v>
      </c>
      <c r="B503" s="3">
        <f>'Historical Prices'!C501/'Historical Prices'!C500-1</f>
        <v>-2.486106189528603E-3</v>
      </c>
      <c r="C503" s="3">
        <f>'Historical Prices'!B501/'Historical Prices'!B500-1</f>
        <v>-3.4330238856816742E-4</v>
      </c>
      <c r="D503" s="3">
        <f>'Historical Prices'!D501/'Historical Prices'!D500-1</f>
        <v>-5.4473730604581716E-3</v>
      </c>
      <c r="E503" s="3">
        <f>'Historical Prices'!E501/'Historical Prices'!E500-1</f>
        <v>-1.0956668123773494E-2</v>
      </c>
      <c r="F503" s="3">
        <f>'Historical Prices'!F501/'Historical Prices'!F500-1</f>
        <v>-4.3761828715194184E-3</v>
      </c>
      <c r="G503" s="9">
        <f t="shared" si="46"/>
        <v>-4.6918741408175533E-3</v>
      </c>
      <c r="H503" s="6">
        <f t="shared" si="47"/>
        <v>-4691.8741408175529</v>
      </c>
      <c r="I503" s="9">
        <f t="shared" si="38"/>
        <v>1.6782212864835208E-2</v>
      </c>
      <c r="J503">
        <f t="shared" si="39"/>
        <v>0</v>
      </c>
      <c r="K503" s="5">
        <f t="shared" si="40"/>
        <v>1.6168735163567031E-2</v>
      </c>
      <c r="L503">
        <f t="shared" si="41"/>
        <v>0</v>
      </c>
      <c r="M503" s="9">
        <f t="shared" si="42"/>
        <v>2.4928888025889426E-2</v>
      </c>
      <c r="N503">
        <f t="shared" si="43"/>
        <v>0</v>
      </c>
      <c r="O503" s="5">
        <f t="shared" si="44"/>
        <v>2.3056678828551908E-2</v>
      </c>
      <c r="P503">
        <f t="shared" si="45"/>
        <v>0</v>
      </c>
    </row>
    <row r="504" spans="1:16" x14ac:dyDescent="0.25">
      <c r="A504" s="2">
        <f>'Historical Prices'!A502</f>
        <v>45849</v>
      </c>
      <c r="B504" s="3">
        <f>'Historical Prices'!C502/'Historical Prices'!C501-1</f>
        <v>-1.121523641621136E-2</v>
      </c>
      <c r="C504" s="3">
        <f>'Historical Prices'!B502/'Historical Prices'!B501-1</f>
        <v>8.1594057706360079E-3</v>
      </c>
      <c r="D504" s="3">
        <f>'Historical Prices'!D502/'Historical Prices'!D501-1</f>
        <v>-1.5448450172458328E-3</v>
      </c>
      <c r="E504" s="3">
        <f>'Historical Prices'!E502/'Historical Prices'!E501-1</f>
        <v>-1.2934888519741117E-2</v>
      </c>
      <c r="F504" s="3">
        <f>'Historical Prices'!F502/'Historical Prices'!F501-1</f>
        <v>-2.8206409198650473E-2</v>
      </c>
      <c r="G504" s="9">
        <f t="shared" si="46"/>
        <v>-9.0364717942015976E-3</v>
      </c>
      <c r="H504" s="6">
        <f t="shared" si="47"/>
        <v>-9036.4717942015977</v>
      </c>
      <c r="I504" s="9">
        <f t="shared" si="38"/>
        <v>1.6782212864835208E-2</v>
      </c>
      <c r="J504">
        <f t="shared" si="39"/>
        <v>0</v>
      </c>
      <c r="K504" s="5">
        <f t="shared" si="40"/>
        <v>1.6209852481854418E-2</v>
      </c>
      <c r="L504">
        <f t="shared" si="41"/>
        <v>0</v>
      </c>
      <c r="M504" s="9">
        <f t="shared" si="42"/>
        <v>2.4928888025889426E-2</v>
      </c>
      <c r="N504">
        <f t="shared" si="43"/>
        <v>0</v>
      </c>
      <c r="O504" s="5">
        <f t="shared" si="44"/>
        <v>2.3094913200771814E-2</v>
      </c>
      <c r="P504">
        <f t="shared" si="45"/>
        <v>0</v>
      </c>
    </row>
    <row r="505" spans="1:16" x14ac:dyDescent="0.25">
      <c r="A505" s="2">
        <f>'Historical Prices'!A503</f>
        <v>45852</v>
      </c>
      <c r="B505" s="3">
        <f>'Historical Prices'!C503/'Historical Prices'!C502-1</f>
        <v>-3.5280721286945482E-4</v>
      </c>
      <c r="C505" s="3">
        <f>'Historical Prices'!B503/'Historical Prices'!B502-1</f>
        <v>-9.3720468425373404E-4</v>
      </c>
      <c r="D505" s="3">
        <f>'Historical Prices'!D503/'Historical Prices'!D502-1</f>
        <v>7.736612489150918E-4</v>
      </c>
      <c r="E505" s="3">
        <f>'Historical Prices'!E503/'Historical Prices'!E502-1</f>
        <v>-1.5424124114500226E-2</v>
      </c>
      <c r="F505" s="3">
        <f>'Historical Prices'!F503/'Historical Prices'!F502-1</f>
        <v>6.1499509111737627E-3</v>
      </c>
      <c r="G505" s="9">
        <f t="shared" si="46"/>
        <v>-1.7249225032024995E-3</v>
      </c>
      <c r="H505" s="6">
        <f t="shared" si="47"/>
        <v>-1724.9225032024995</v>
      </c>
      <c r="I505" s="9">
        <f t="shared" si="38"/>
        <v>1.6782212864835208E-2</v>
      </c>
      <c r="J505">
        <f t="shared" si="39"/>
        <v>0</v>
      </c>
      <c r="K505" s="5">
        <f t="shared" si="40"/>
        <v>1.6127485793732892E-2</v>
      </c>
      <c r="L505">
        <f t="shared" si="41"/>
        <v>0</v>
      </c>
      <c r="M505" s="9">
        <f t="shared" si="42"/>
        <v>2.4928888025889426E-2</v>
      </c>
      <c r="N505">
        <f t="shared" si="43"/>
        <v>0</v>
      </c>
      <c r="O505" s="5">
        <f t="shared" si="44"/>
        <v>2.2989451816956268E-2</v>
      </c>
      <c r="P505">
        <f t="shared" si="45"/>
        <v>0</v>
      </c>
    </row>
    <row r="506" spans="1:16" x14ac:dyDescent="0.25">
      <c r="A506" s="2">
        <f>'Historical Prices'!A504</f>
        <v>45853</v>
      </c>
      <c r="B506" s="3">
        <f>'Historical Prices'!C504/'Historical Prices'!C503-1</f>
        <v>6.3035890384146587E-3</v>
      </c>
      <c r="C506" s="3">
        <f>'Historical Prices'!B504/'Historical Prices'!B503-1</f>
        <v>-5.7985145876996436E-3</v>
      </c>
      <c r="D506" s="3">
        <f>'Historical Prices'!D504/'Historical Prices'!D503-1</f>
        <v>5.4813560406550277E-3</v>
      </c>
      <c r="E506" s="3">
        <f>'Historical Prices'!E504/'Historical Prices'!E503-1</f>
        <v>9.7433607817334345E-3</v>
      </c>
      <c r="F506" s="3">
        <f>'Historical Prices'!F504/'Historical Prices'!F503-1</f>
        <v>1.1804251285741918E-2</v>
      </c>
      <c r="G506" s="9">
        <f t="shared" si="46"/>
        <v>5.5819008100001268E-3</v>
      </c>
      <c r="H506" s="6">
        <f t="shared" si="47"/>
        <v>5581.9008100001265</v>
      </c>
      <c r="I506" s="9">
        <f t="shared" si="38"/>
        <v>1.6782212864835208E-2</v>
      </c>
      <c r="J506">
        <f t="shared" si="39"/>
        <v>0</v>
      </c>
      <c r="K506" s="5">
        <f t="shared" si="40"/>
        <v>1.6122561316858085E-2</v>
      </c>
      <c r="L506">
        <f t="shared" si="41"/>
        <v>0</v>
      </c>
      <c r="M506" s="9">
        <f t="shared" si="42"/>
        <v>2.4928888025889426E-2</v>
      </c>
      <c r="N506">
        <f t="shared" si="43"/>
        <v>0</v>
      </c>
      <c r="O506" s="5">
        <f t="shared" si="44"/>
        <v>2.2983918507209683E-2</v>
      </c>
      <c r="P506">
        <f t="shared" si="45"/>
        <v>0</v>
      </c>
    </row>
    <row r="507" spans="1:16" x14ac:dyDescent="0.25">
      <c r="A507" s="2">
        <f>'Historical Prices'!A505</f>
        <v>45854</v>
      </c>
      <c r="B507" s="3">
        <f>'Historical Prices'!C505/'Historical Prices'!C504-1</f>
        <v>4.0090406953474655E-4</v>
      </c>
      <c r="C507" s="3">
        <f>'Historical Prices'!B505/'Historical Prices'!B504-1</f>
        <v>2.1442433238370029E-3</v>
      </c>
      <c r="D507" s="3">
        <f>'Historical Prices'!D505/'Historical Prices'!D504-1</f>
        <v>-3.0752219045279139E-3</v>
      </c>
      <c r="E507" s="3">
        <f>'Historical Prices'!E505/'Historical Prices'!E504-1</f>
        <v>1.4064150291885014E-2</v>
      </c>
      <c r="F507" s="3">
        <f>'Historical Prices'!F505/'Historical Prices'!F504-1</f>
        <v>2.170299103344453E-2</v>
      </c>
      <c r="G507" s="9">
        <f t="shared" si="46"/>
        <v>6.5570876913776336E-3</v>
      </c>
      <c r="H507" s="6">
        <f t="shared" si="47"/>
        <v>6557.0876913776337</v>
      </c>
      <c r="I507" s="9">
        <f t="shared" si="38"/>
        <v>1.6782212864835208E-2</v>
      </c>
      <c r="J507">
        <f t="shared" si="39"/>
        <v>0</v>
      </c>
      <c r="K507" s="5">
        <f t="shared" si="40"/>
        <v>1.6120591580898902E-2</v>
      </c>
      <c r="L507">
        <f t="shared" si="41"/>
        <v>0</v>
      </c>
      <c r="M507" s="9">
        <f t="shared" si="42"/>
        <v>2.4928888025889426E-2</v>
      </c>
      <c r="N507">
        <f t="shared" si="43"/>
        <v>0</v>
      </c>
      <c r="O507" s="5">
        <f t="shared" si="44"/>
        <v>2.2975220734495202E-2</v>
      </c>
      <c r="P507">
        <f t="shared" si="45"/>
        <v>0</v>
      </c>
    </row>
    <row r="508" spans="1:16" x14ac:dyDescent="0.25">
      <c r="A508" s="2">
        <f>'Historical Prices'!A506</f>
        <v>45855</v>
      </c>
      <c r="B508" s="3">
        <f>'Historical Prices'!C506/'Historical Prices'!C505-1</f>
        <v>-4.7087194874023686E-3</v>
      </c>
      <c r="C508" s="3">
        <f>'Historical Prices'!B506/'Historical Prices'!B505-1</f>
        <v>-7.3605023422342875E-3</v>
      </c>
      <c r="D508" s="3">
        <f>'Historical Prices'!D506/'Historical Prices'!D505-1</f>
        <v>-5.3981956327595615E-3</v>
      </c>
      <c r="E508" s="3">
        <f>'Historical Prices'!E506/'Historical Prices'!E505-1</f>
        <v>-1.5175071935531692E-2</v>
      </c>
      <c r="F508" s="3">
        <f>'Historical Prices'!F506/'Historical Prices'!F505-1</f>
        <v>-4.6925173951162247E-4</v>
      </c>
      <c r="G508" s="9">
        <f t="shared" si="46"/>
        <v>-6.4643241425591828E-3</v>
      </c>
      <c r="H508" s="6">
        <f t="shared" si="47"/>
        <v>-6464.3241425591832</v>
      </c>
      <c r="I508" s="9">
        <f t="shared" si="38"/>
        <v>1.6782212864835208E-2</v>
      </c>
      <c r="J508">
        <f t="shared" si="39"/>
        <v>0</v>
      </c>
      <c r="K508" s="5">
        <f t="shared" si="40"/>
        <v>1.6104028701600197E-2</v>
      </c>
      <c r="L508">
        <f t="shared" si="41"/>
        <v>0</v>
      </c>
      <c r="M508" s="9">
        <f t="shared" si="42"/>
        <v>2.4928888025889426E-2</v>
      </c>
      <c r="N508">
        <f t="shared" si="43"/>
        <v>0</v>
      </c>
      <c r="O508" s="5">
        <f t="shared" si="44"/>
        <v>2.2963611423021797E-2</v>
      </c>
      <c r="P508">
        <f t="shared" si="45"/>
        <v>0</v>
      </c>
    </row>
    <row r="509" spans="1:16" x14ac:dyDescent="0.25">
      <c r="A509" s="2">
        <f>'Historical Prices'!A507</f>
        <v>45856</v>
      </c>
      <c r="B509" s="3">
        <f>'Historical Prices'!C507/'Historical Prices'!C506-1</f>
        <v>-1.4847254692883061E-2</v>
      </c>
      <c r="C509" s="3">
        <f>'Historical Prices'!B507/'Historical Prices'!B506-1</f>
        <v>-5.2164158352433598E-2</v>
      </c>
      <c r="D509" s="3">
        <f>'Historical Prices'!D507/'Historical Prices'!D506-1</f>
        <v>5.0045533697344879E-3</v>
      </c>
      <c r="E509" s="3">
        <f>'Historical Prices'!E507/'Historical Prices'!E506-1</f>
        <v>1.6417953174130417E-3</v>
      </c>
      <c r="F509" s="3">
        <f>'Historical Prices'!F507/'Historical Prices'!F506-1</f>
        <v>-8.1377727474263306E-4</v>
      </c>
      <c r="G509" s="9">
        <f t="shared" si="46"/>
        <v>-1.1448144287683039E-2</v>
      </c>
      <c r="H509" s="6">
        <f t="shared" si="47"/>
        <v>-11448.144287683039</v>
      </c>
      <c r="I509" s="9">
        <f t="shared" si="38"/>
        <v>1.6782212864835208E-2</v>
      </c>
      <c r="J509">
        <f t="shared" si="39"/>
        <v>0</v>
      </c>
      <c r="K509" s="5">
        <f t="shared" si="40"/>
        <v>1.6158541761978226E-2</v>
      </c>
      <c r="L509">
        <f t="shared" si="41"/>
        <v>0</v>
      </c>
      <c r="M509" s="9">
        <f t="shared" si="42"/>
        <v>2.4928888025889426E-2</v>
      </c>
      <c r="N509">
        <f t="shared" si="43"/>
        <v>0</v>
      </c>
      <c r="O509" s="5">
        <f t="shared" si="44"/>
        <v>2.3021842871891237E-2</v>
      </c>
      <c r="P509">
        <f t="shared" si="45"/>
        <v>0</v>
      </c>
    </row>
    <row r="510" spans="1:16" x14ac:dyDescent="0.25">
      <c r="A510" s="2">
        <f>'Historical Prices'!A508</f>
        <v>45859</v>
      </c>
      <c r="B510" s="3">
        <f>'Historical Prices'!C508/'Historical Prices'!C507-1</f>
        <v>2.2018982052014247E-2</v>
      </c>
      <c r="C510" s="3">
        <f>'Historical Prices'!B508/'Historical Prices'!B507-1</f>
        <v>2.7282246003368371E-4</v>
      </c>
      <c r="D510" s="3">
        <f>'Historical Prices'!D508/'Historical Prices'!D507-1</f>
        <v>2.8054467531246852E-2</v>
      </c>
      <c r="E510" s="3">
        <f>'Historical Prices'!E508/'Historical Prices'!E507-1</f>
        <v>-1.1347276310409438E-3</v>
      </c>
      <c r="F510" s="3">
        <f>'Historical Prices'!F508/'Historical Prices'!F507-1</f>
        <v>1.70091155616936E-2</v>
      </c>
      <c r="G510" s="9">
        <f t="shared" si="46"/>
        <v>1.4157651393218132E-2</v>
      </c>
      <c r="H510" s="6">
        <f t="shared" si="47"/>
        <v>14157.651393218131</v>
      </c>
      <c r="I510" s="9">
        <f t="shared" si="38"/>
        <v>1.6782212864835208E-2</v>
      </c>
      <c r="J510">
        <f t="shared" si="39"/>
        <v>0</v>
      </c>
      <c r="K510" s="5">
        <f t="shared" si="40"/>
        <v>1.6260005552064725E-2</v>
      </c>
      <c r="L510">
        <f t="shared" si="41"/>
        <v>0</v>
      </c>
      <c r="M510" s="9">
        <f t="shared" si="42"/>
        <v>2.4928888025889426E-2</v>
      </c>
      <c r="N510">
        <f t="shared" si="43"/>
        <v>0</v>
      </c>
      <c r="O510" s="5">
        <f t="shared" si="44"/>
        <v>2.3130069846783903E-2</v>
      </c>
      <c r="P510">
        <f t="shared" si="45"/>
        <v>0</v>
      </c>
    </row>
    <row r="511" spans="1:16" x14ac:dyDescent="0.25">
      <c r="A511" s="2">
        <f>'Historical Prices'!A509</f>
        <v>45860</v>
      </c>
      <c r="B511" s="3">
        <f>'Historical Prices'!C509/'Historical Prices'!C508-1</f>
        <v>3.2991454681567944E-3</v>
      </c>
      <c r="C511" s="3">
        <f>'Historical Prices'!B509/'Historical Prices'!B508-1</f>
        <v>-1.4550636202872447E-3</v>
      </c>
      <c r="D511" s="3">
        <f>'Historical Prices'!D509/'Historical Prices'!D508-1</f>
        <v>5.3213056265717373E-3</v>
      </c>
      <c r="E511" s="3">
        <f>'Historical Prices'!E509/'Historical Prices'!E508-1</f>
        <v>-8.458025565570737E-3</v>
      </c>
      <c r="F511" s="3">
        <f>'Historical Prices'!F509/'Historical Prices'!F508-1</f>
        <v>3.2340497314646832E-3</v>
      </c>
      <c r="G511" s="9">
        <f t="shared" si="46"/>
        <v>7.0620753259503213E-4</v>
      </c>
      <c r="H511" s="6">
        <f t="shared" si="47"/>
        <v>706.20753259503215</v>
      </c>
      <c r="I511" s="9">
        <f t="shared" si="38"/>
        <v>1.6782212864835208E-2</v>
      </c>
      <c r="J511">
        <f t="shared" si="39"/>
        <v>0</v>
      </c>
      <c r="K511" s="5">
        <f t="shared" si="40"/>
        <v>1.6237582258676556E-2</v>
      </c>
      <c r="L511">
        <f t="shared" si="41"/>
        <v>0</v>
      </c>
      <c r="M511" s="9">
        <f t="shared" si="42"/>
        <v>2.4928888025889426E-2</v>
      </c>
      <c r="N511">
        <f t="shared" si="43"/>
        <v>0</v>
      </c>
      <c r="O511" s="5">
        <f t="shared" si="44"/>
        <v>2.3129810877875571E-2</v>
      </c>
      <c r="P511">
        <f t="shared" si="45"/>
        <v>0</v>
      </c>
    </row>
    <row r="512" spans="1:16" x14ac:dyDescent="0.25">
      <c r="A512" s="2">
        <f>'Historical Prices'!A510</f>
        <v>45861</v>
      </c>
      <c r="B512" s="3">
        <f>'Historical Prices'!C510/'Historical Prices'!C509-1</f>
        <v>8.5696531381340701E-3</v>
      </c>
      <c r="C512" s="3">
        <f>'Historical Prices'!B510/'Historical Prices'!B509-1</f>
        <v>6.1931150869329876E-3</v>
      </c>
      <c r="D512" s="3">
        <f>'Historical Prices'!D510/'Historical Prices'!D509-1</f>
        <v>1.0179094448752757E-2</v>
      </c>
      <c r="E512" s="3">
        <f>'Historical Prices'!E510/'Historical Prices'!E509-1</f>
        <v>2.2916560537897812E-3</v>
      </c>
      <c r="F512" s="3">
        <f>'Historical Prices'!F510/'Historical Prices'!F509-1</f>
        <v>3.5614304527336049E-3</v>
      </c>
      <c r="G512" s="9">
        <f t="shared" si="46"/>
        <v>6.3759631131412881E-3</v>
      </c>
      <c r="H512" s="6">
        <f t="shared" si="47"/>
        <v>6375.963113141288</v>
      </c>
      <c r="I512" s="9">
        <f t="shared" ref="I512:I575" si="48">-_xlfn.PERCENTILE.INC(G262:G511, 0.05)</f>
        <v>1.6782212864835208E-2</v>
      </c>
      <c r="J512">
        <f t="shared" ref="J512:J575" si="49">--($G512&lt;-I512)</f>
        <v>0</v>
      </c>
      <c r="K512" s="5">
        <f t="shared" ref="K512:K575" si="50">_xlfn.NORM.S.INV(0.95)*_xlfn.STDEV.S($G262:$G511)-AVERAGE($G262:$G511)</f>
        <v>1.6248194024782732E-2</v>
      </c>
      <c r="L512">
        <f t="shared" ref="L512:L575" si="51">--($G512&lt;-K512)</f>
        <v>0</v>
      </c>
      <c r="M512" s="9">
        <f t="shared" ref="M512:M575" si="52">-_xlfn.PERCENTILE.INC(G262:G501, 0.01)</f>
        <v>2.4928888025889426E-2</v>
      </c>
      <c r="N512">
        <f t="shared" ref="N512:N575" si="53">--($G512&lt;-M512)</f>
        <v>0</v>
      </c>
      <c r="O512" s="5">
        <f t="shared" ref="O512:O575" si="54">_xlfn.NORM.S.INV(0.99)*_xlfn.STDEV.S($G262:$G511)-AVERAGE($G262:$G511)</f>
        <v>2.3133436681579803E-2</v>
      </c>
      <c r="P512">
        <f t="shared" ref="P512:P575" si="55">--($G512&lt;-O512)</f>
        <v>0</v>
      </c>
    </row>
    <row r="513" spans="1:16" x14ac:dyDescent="0.25">
      <c r="A513" s="2">
        <f>'Historical Prices'!A511</f>
        <v>45862</v>
      </c>
      <c r="B513" s="3">
        <f>'Historical Prices'!C511/'Historical Prices'!C510-1</f>
        <v>-4.9894427859467072E-3</v>
      </c>
      <c r="C513" s="3">
        <f>'Historical Prices'!B511/'Historical Prices'!B510-1</f>
        <v>-8.77985153391736E-3</v>
      </c>
      <c r="D513" s="3">
        <f>'Historical Prices'!D511/'Historical Prices'!D510-1</f>
        <v>-3.493146289979987E-3</v>
      </c>
      <c r="E513" s="3">
        <f>'Historical Prices'!E511/'Historical Prices'!E510-1</f>
        <v>-1.3972705346624648E-2</v>
      </c>
      <c r="F513" s="3">
        <f>'Historical Prices'!F511/'Historical Prices'!F510-1</f>
        <v>-2.4168553604558829E-3</v>
      </c>
      <c r="G513" s="9">
        <f t="shared" si="46"/>
        <v>-6.5047626563474754E-3</v>
      </c>
      <c r="H513" s="6">
        <f t="shared" si="47"/>
        <v>-6504.7626563474751</v>
      </c>
      <c r="I513" s="9">
        <f t="shared" si="48"/>
        <v>1.6782212864835208E-2</v>
      </c>
      <c r="J513">
        <f t="shared" si="49"/>
        <v>0</v>
      </c>
      <c r="K513" s="5">
        <f t="shared" si="50"/>
        <v>1.6207013645526985E-2</v>
      </c>
      <c r="L513">
        <f t="shared" si="51"/>
        <v>0</v>
      </c>
      <c r="M513" s="9">
        <f t="shared" si="52"/>
        <v>2.4928888025889426E-2</v>
      </c>
      <c r="N513">
        <f t="shared" si="53"/>
        <v>0</v>
      </c>
      <c r="O513" s="5">
        <f t="shared" si="54"/>
        <v>2.3093574037943276E-2</v>
      </c>
      <c r="P513">
        <f t="shared" si="55"/>
        <v>0</v>
      </c>
    </row>
    <row r="514" spans="1:16" x14ac:dyDescent="0.25">
      <c r="A514" s="2">
        <f>'Historical Prices'!A512</f>
        <v>45863</v>
      </c>
      <c r="B514" s="3">
        <f>'Historical Prices'!C512/'Historical Prices'!C511-1</f>
        <v>-2.2894633978292056E-3</v>
      </c>
      <c r="C514" s="3">
        <f>'Historical Prices'!B512/'Historical Prices'!B511-1</f>
        <v>-8.2185185292609209E-3</v>
      </c>
      <c r="D514" s="3">
        <f>'Historical Prices'!D512/'Historical Prices'!D511-1</f>
        <v>-4.2470609171052498E-3</v>
      </c>
      <c r="E514" s="3">
        <f>'Historical Prices'!E512/'Historical Prices'!E511-1</f>
        <v>-2.3703702374587188E-2</v>
      </c>
      <c r="F514" s="3">
        <f>'Historical Prices'!F512/'Historical Prices'!F511-1</f>
        <v>-4.4466421477822315E-3</v>
      </c>
      <c r="G514" s="9">
        <f t="shared" si="46"/>
        <v>-8.1891532598654098E-3</v>
      </c>
      <c r="H514" s="6">
        <f t="shared" si="47"/>
        <v>-8189.1532598654094</v>
      </c>
      <c r="I514" s="9">
        <f t="shared" si="48"/>
        <v>1.6782212864835208E-2</v>
      </c>
      <c r="J514">
        <f t="shared" si="49"/>
        <v>0</v>
      </c>
      <c r="K514" s="5">
        <f t="shared" si="50"/>
        <v>1.6198722066252131E-2</v>
      </c>
      <c r="L514">
        <f t="shared" si="51"/>
        <v>0</v>
      </c>
      <c r="M514" s="9">
        <f t="shared" si="52"/>
        <v>2.4928888025889426E-2</v>
      </c>
      <c r="N514">
        <f t="shared" si="53"/>
        <v>0</v>
      </c>
      <c r="O514" s="5">
        <f t="shared" si="54"/>
        <v>2.308340298834155E-2</v>
      </c>
      <c r="P514">
        <f t="shared" si="55"/>
        <v>0</v>
      </c>
    </row>
    <row r="515" spans="1:16" x14ac:dyDescent="0.25">
      <c r="A515" s="2">
        <f>'Historical Prices'!A513</f>
        <v>45866</v>
      </c>
      <c r="B515" s="3">
        <f>'Historical Prices'!C513/'Historical Prices'!C512-1</f>
        <v>1.945526375720652E-3</v>
      </c>
      <c r="C515" s="3">
        <f>'Historical Prices'!B513/'Historical Prices'!B512-1</f>
        <v>-1.1509060146849714E-2</v>
      </c>
      <c r="D515" s="3">
        <f>'Historical Prices'!D513/'Historical Prices'!D512-1</f>
        <v>7.6502232021953276E-3</v>
      </c>
      <c r="E515" s="3">
        <f>'Historical Prices'!E513/'Historical Prices'!E512-1</f>
        <v>1.9790541057052025E-4</v>
      </c>
      <c r="F515" s="3">
        <f>'Historical Prices'!F513/'Historical Prices'!F512-1</f>
        <v>-1.1273978149205721E-2</v>
      </c>
      <c r="G515" s="9">
        <f t="shared" si="46"/>
        <v>-2.1049415128948667E-3</v>
      </c>
      <c r="H515" s="6">
        <f t="shared" si="47"/>
        <v>-2104.9415128948667</v>
      </c>
      <c r="I515" s="9">
        <f t="shared" si="48"/>
        <v>1.6782212864835208E-2</v>
      </c>
      <c r="J515">
        <f t="shared" si="49"/>
        <v>0</v>
      </c>
      <c r="K515" s="5">
        <f t="shared" si="50"/>
        <v>1.6145298308211761E-2</v>
      </c>
      <c r="L515">
        <f t="shared" si="51"/>
        <v>0</v>
      </c>
      <c r="M515" s="9">
        <f t="shared" si="52"/>
        <v>2.4928888025889426E-2</v>
      </c>
      <c r="N515">
        <f t="shared" si="53"/>
        <v>0</v>
      </c>
      <c r="O515" s="5">
        <f t="shared" si="54"/>
        <v>2.3015749024230852E-2</v>
      </c>
      <c r="P515">
        <f t="shared" si="55"/>
        <v>0</v>
      </c>
    </row>
    <row r="516" spans="1:16" x14ac:dyDescent="0.25">
      <c r="A516" s="2">
        <f>'Historical Prices'!A514</f>
        <v>45867</v>
      </c>
      <c r="B516" s="3">
        <f>'Historical Prices'!C514/'Historical Prices'!C513-1</f>
        <v>6.5222712620829348E-3</v>
      </c>
      <c r="C516" s="3">
        <f>'Historical Prices'!B514/'Historical Prices'!B513-1</f>
        <v>-8.7555371418768235E-3</v>
      </c>
      <c r="D516" s="3">
        <f>'Historical Prices'!D514/'Historical Prices'!D513-1</f>
        <v>-1.4781898242098856E-3</v>
      </c>
      <c r="E516" s="3">
        <f>'Historical Prices'!E514/'Historical Prices'!E513-1</f>
        <v>-1.5171973251894011E-3</v>
      </c>
      <c r="F516" s="3">
        <f>'Historical Prices'!F514/'Historical Prices'!F513-1</f>
        <v>-3.2401001359726456E-3</v>
      </c>
      <c r="G516" s="9">
        <f t="shared" si="46"/>
        <v>-1.4816495784145223E-3</v>
      </c>
      <c r="H516" s="6">
        <f t="shared" si="47"/>
        <v>-1481.6495784145222</v>
      </c>
      <c r="I516" s="9">
        <f t="shared" si="48"/>
        <v>1.6782212864835208E-2</v>
      </c>
      <c r="J516">
        <f t="shared" si="49"/>
        <v>0</v>
      </c>
      <c r="K516" s="5">
        <f t="shared" si="50"/>
        <v>1.6156180405349666E-2</v>
      </c>
      <c r="L516">
        <f t="shared" si="51"/>
        <v>0</v>
      </c>
      <c r="M516" s="9">
        <f t="shared" si="52"/>
        <v>2.4928888025889426E-2</v>
      </c>
      <c r="N516">
        <f t="shared" si="53"/>
        <v>0</v>
      </c>
      <c r="O516" s="5">
        <f t="shared" si="54"/>
        <v>2.3006272337732912E-2</v>
      </c>
      <c r="P516">
        <f t="shared" si="55"/>
        <v>0</v>
      </c>
    </row>
    <row r="517" spans="1:16" x14ac:dyDescent="0.25">
      <c r="A517" s="2">
        <f>'Historical Prices'!A515</f>
        <v>45868</v>
      </c>
      <c r="B517" s="3">
        <f>'Historical Prices'!C515/'Historical Prices'!C514-1</f>
        <v>2.0775871091021081E-3</v>
      </c>
      <c r="C517" s="3">
        <f>'Historical Prices'!B515/'Historical Prices'!B514-1</f>
        <v>8.5510528505345906E-3</v>
      </c>
      <c r="D517" s="3">
        <f>'Historical Prices'!D515/'Historical Prices'!D514-1</f>
        <v>-2.5567739108900422E-3</v>
      </c>
      <c r="E517" s="3">
        <f>'Historical Prices'!E515/'Historical Prices'!E514-1</f>
        <v>3.5015064114820582E-3</v>
      </c>
      <c r="F517" s="3">
        <f>'Historical Prices'!F515/'Historical Prices'!F514-1</f>
        <v>2.9692595619572604E-3</v>
      </c>
      <c r="G517" s="9">
        <f t="shared" si="46"/>
        <v>2.6474861736905165E-3</v>
      </c>
      <c r="H517" s="6">
        <f t="shared" si="47"/>
        <v>2647.4861736905164</v>
      </c>
      <c r="I517" s="9">
        <f t="shared" si="48"/>
        <v>1.6782212864835208E-2</v>
      </c>
      <c r="J517">
        <f t="shared" si="49"/>
        <v>0</v>
      </c>
      <c r="K517" s="5">
        <f t="shared" si="50"/>
        <v>1.6165029322066107E-2</v>
      </c>
      <c r="L517">
        <f t="shared" si="51"/>
        <v>0</v>
      </c>
      <c r="M517" s="9">
        <f t="shared" si="52"/>
        <v>2.4928888025889426E-2</v>
      </c>
      <c r="N517">
        <f t="shared" si="53"/>
        <v>0</v>
      </c>
      <c r="O517" s="5">
        <f t="shared" si="54"/>
        <v>2.3015588937715749E-2</v>
      </c>
      <c r="P517">
        <f t="shared" si="55"/>
        <v>0</v>
      </c>
    </row>
    <row r="518" spans="1:16" x14ac:dyDescent="0.25">
      <c r="A518" s="2">
        <f>'Historical Prices'!A516</f>
        <v>45869</v>
      </c>
      <c r="B518" s="3">
        <f>'Historical Prices'!C516/'Historical Prices'!C515-1</f>
        <v>-3.7516518796359977E-3</v>
      </c>
      <c r="C518" s="3">
        <f>'Historical Prices'!B516/'Historical Prices'!B515-1</f>
        <v>-4.5653743163036609E-3</v>
      </c>
      <c r="D518" s="3">
        <f>'Historical Prices'!D516/'Historical Prices'!D515-1</f>
        <v>-6.7455553267370405E-4</v>
      </c>
      <c r="E518" s="3">
        <f>'Historical Prices'!E516/'Historical Prices'!E515-1</f>
        <v>-6.5832929602044343E-3</v>
      </c>
      <c r="F518" s="3">
        <f>'Historical Prices'!F516/'Historical Prices'!F515-1</f>
        <v>-1.8074030564939614E-3</v>
      </c>
      <c r="G518" s="9">
        <f t="shared" ref="G518:G581" si="56">SUMPRODUCT(B518:F518, $B$2:$F$2)</f>
        <v>-3.346166394827346E-3</v>
      </c>
      <c r="H518" s="6">
        <f t="shared" ref="H518:H581" si="57">G518*1000000</f>
        <v>-3346.1663948273458</v>
      </c>
      <c r="I518" s="9">
        <f t="shared" si="48"/>
        <v>1.6782212864835208E-2</v>
      </c>
      <c r="J518">
        <f t="shared" si="49"/>
        <v>0</v>
      </c>
      <c r="K518" s="5">
        <f t="shared" si="50"/>
        <v>1.615866208101014E-2</v>
      </c>
      <c r="L518">
        <f t="shared" si="51"/>
        <v>0</v>
      </c>
      <c r="M518" s="9">
        <f t="shared" si="52"/>
        <v>2.4928888025889426E-2</v>
      </c>
      <c r="N518">
        <f t="shared" si="53"/>
        <v>0</v>
      </c>
      <c r="O518" s="5">
        <f t="shared" si="54"/>
        <v>2.3009916194596695E-2</v>
      </c>
      <c r="P518">
        <f t="shared" si="55"/>
        <v>0</v>
      </c>
    </row>
    <row r="519" spans="1:16" x14ac:dyDescent="0.25">
      <c r="A519" s="2">
        <f>'Historical Prices'!A517</f>
        <v>45870</v>
      </c>
      <c r="B519" s="3">
        <f>'Historical Prices'!C517/'Historical Prices'!C516-1</f>
        <v>-2.9729290194135949E-3</v>
      </c>
      <c r="C519" s="3">
        <f>'Historical Prices'!B517/'Historical Prices'!B516-1</f>
        <v>-5.6158602486190423E-3</v>
      </c>
      <c r="D519" s="3">
        <f>'Historical Prices'!D517/'Historical Prices'!D516-1</f>
        <v>-6.6154581758712805E-3</v>
      </c>
      <c r="E519" s="3">
        <f>'Historical Prices'!E517/'Historical Prices'!E516-1</f>
        <v>-2.6110111456710716E-2</v>
      </c>
      <c r="F519" s="3">
        <f>'Historical Prices'!F517/'Historical Prices'!F516-1</f>
        <v>-1.3674225179228672E-2</v>
      </c>
      <c r="G519" s="9">
        <f t="shared" si="56"/>
        <v>-1.0617812006960835E-2</v>
      </c>
      <c r="H519" s="6">
        <f t="shared" si="57"/>
        <v>-10617.812006960836</v>
      </c>
      <c r="I519" s="9">
        <f t="shared" si="48"/>
        <v>1.6782212864835208E-2</v>
      </c>
      <c r="J519">
        <f t="shared" si="49"/>
        <v>0</v>
      </c>
      <c r="K519" s="5">
        <f t="shared" si="50"/>
        <v>1.6170071995045249E-2</v>
      </c>
      <c r="L519">
        <f t="shared" si="51"/>
        <v>0</v>
      </c>
      <c r="M519" s="9">
        <f t="shared" si="52"/>
        <v>2.4928888025889426E-2</v>
      </c>
      <c r="N519">
        <f t="shared" si="53"/>
        <v>0</v>
      </c>
      <c r="O519" s="5">
        <f t="shared" si="54"/>
        <v>2.3022791743089025E-2</v>
      </c>
      <c r="P519">
        <f t="shared" si="55"/>
        <v>0</v>
      </c>
    </row>
    <row r="520" spans="1:16" x14ac:dyDescent="0.25">
      <c r="A520" s="2">
        <f>'Historical Prices'!A518</f>
        <v>45873</v>
      </c>
      <c r="B520" s="3">
        <f>'Historical Prices'!C518/'Historical Prices'!C517-1</f>
        <v>-1.0038762947834123E-2</v>
      </c>
      <c r="C520" s="3">
        <f>'Historical Prices'!B518/'Historical Prices'!B517-1</f>
        <v>5.8358134572698006E-3</v>
      </c>
      <c r="D520" s="3">
        <f>'Historical Prices'!D518/'Historical Prices'!D517-1</f>
        <v>-5.7080704858829545E-3</v>
      </c>
      <c r="E520" s="3">
        <f>'Historical Prices'!E518/'Historical Prices'!E517-1</f>
        <v>7.4170152277825974E-3</v>
      </c>
      <c r="F520" s="3">
        <f>'Historical Prices'!F518/'Historical Prices'!F517-1</f>
        <v>1.2945873621379889E-2</v>
      </c>
      <c r="G520" s="9">
        <f t="shared" si="56"/>
        <v>1.5243726199603697E-3</v>
      </c>
      <c r="H520" s="6">
        <f t="shared" si="57"/>
        <v>1524.3726199603698</v>
      </c>
      <c r="I520" s="9">
        <f t="shared" si="48"/>
        <v>1.6782212864835208E-2</v>
      </c>
      <c r="J520">
        <f t="shared" si="49"/>
        <v>0</v>
      </c>
      <c r="K520" s="5">
        <f t="shared" si="50"/>
        <v>1.623165302373485E-2</v>
      </c>
      <c r="L520">
        <f t="shared" si="51"/>
        <v>0</v>
      </c>
      <c r="M520" s="9">
        <f t="shared" si="52"/>
        <v>2.4928888025889426E-2</v>
      </c>
      <c r="N520">
        <f t="shared" si="53"/>
        <v>0</v>
      </c>
      <c r="O520" s="5">
        <f t="shared" si="54"/>
        <v>2.3098473606003464E-2</v>
      </c>
      <c r="P520">
        <f t="shared" si="55"/>
        <v>0</v>
      </c>
    </row>
    <row r="521" spans="1:16" x14ac:dyDescent="0.25">
      <c r="A521" s="2">
        <f>'Historical Prices'!A519</f>
        <v>45874</v>
      </c>
      <c r="B521" s="3">
        <f>'Historical Prices'!C519/'Historical Prices'!C518-1</f>
        <v>-7.2289485357743821E-3</v>
      </c>
      <c r="C521" s="3">
        <f>'Historical Prices'!B519/'Historical Prices'!B518-1</f>
        <v>2.0588243700148112E-3</v>
      </c>
      <c r="D521" s="3">
        <f>'Historical Prices'!D519/'Historical Prices'!D518-1</f>
        <v>-1.2848578075036809E-2</v>
      </c>
      <c r="E521" s="3">
        <f>'Historical Prices'!E519/'Historical Prices'!E518-1</f>
        <v>-1.3644025975913854E-2</v>
      </c>
      <c r="F521" s="3">
        <f>'Historical Prices'!F519/'Historical Prices'!F518-1</f>
        <v>3.7497506127910363E-3</v>
      </c>
      <c r="G521" s="9">
        <f t="shared" si="56"/>
        <v>-5.8627413601054345E-3</v>
      </c>
      <c r="H521" s="6">
        <f t="shared" si="57"/>
        <v>-5862.7413601054341</v>
      </c>
      <c r="I521" s="9">
        <f t="shared" si="48"/>
        <v>1.6782212864835208E-2</v>
      </c>
      <c r="J521">
        <f t="shared" si="49"/>
        <v>0</v>
      </c>
      <c r="K521" s="5">
        <f t="shared" si="50"/>
        <v>1.6148189843470755E-2</v>
      </c>
      <c r="L521">
        <f t="shared" si="51"/>
        <v>0</v>
      </c>
      <c r="M521" s="9">
        <f t="shared" si="52"/>
        <v>2.4928888025889426E-2</v>
      </c>
      <c r="N521">
        <f t="shared" si="53"/>
        <v>0</v>
      </c>
      <c r="O521" s="5">
        <f t="shared" si="54"/>
        <v>2.299991710068507E-2</v>
      </c>
      <c r="P521">
        <f t="shared" si="55"/>
        <v>0</v>
      </c>
    </row>
    <row r="522" spans="1:16" x14ac:dyDescent="0.25">
      <c r="A522" s="2">
        <f>'Historical Prices'!A520</f>
        <v>45875</v>
      </c>
      <c r="B522" s="3">
        <f>'Historical Prices'!C520/'Historical Prices'!C519-1</f>
        <v>3.8936654662875547E-3</v>
      </c>
      <c r="C522" s="3">
        <f>'Historical Prices'!B520/'Historical Prices'!B519-1</f>
        <v>1.8676055881727827E-4</v>
      </c>
      <c r="D522" s="3">
        <f>'Historical Prices'!D520/'Historical Prices'!D519-1</f>
        <v>-5.5377300803172158E-4</v>
      </c>
      <c r="E522" s="3">
        <f>'Historical Prices'!E520/'Historical Prices'!E519-1</f>
        <v>-1.6161068406487233E-2</v>
      </c>
      <c r="F522" s="3">
        <f>'Historical Prices'!F520/'Historical Prices'!F519-1</f>
        <v>4.7631273819765951E-3</v>
      </c>
      <c r="G522" s="9">
        <f t="shared" si="56"/>
        <v>-1.330015696627258E-3</v>
      </c>
      <c r="H522" s="6">
        <f t="shared" si="57"/>
        <v>-1330.015696627258</v>
      </c>
      <c r="I522" s="9">
        <f t="shared" si="48"/>
        <v>1.5594727193304502E-2</v>
      </c>
      <c r="J522">
        <f t="shared" si="49"/>
        <v>0</v>
      </c>
      <c r="K522" s="5">
        <f t="shared" si="50"/>
        <v>1.5841390531397423E-2</v>
      </c>
      <c r="L522">
        <f t="shared" si="51"/>
        <v>0</v>
      </c>
      <c r="M522" s="9">
        <f t="shared" si="52"/>
        <v>2.2377710133979153E-2</v>
      </c>
      <c r="N522">
        <f t="shared" si="53"/>
        <v>0</v>
      </c>
      <c r="O522" s="5">
        <f t="shared" si="54"/>
        <v>2.2600013780709399E-2</v>
      </c>
      <c r="P522">
        <f t="shared" si="55"/>
        <v>0</v>
      </c>
    </row>
    <row r="523" spans="1:16" x14ac:dyDescent="0.25">
      <c r="A523" s="2">
        <f>'Historical Prices'!A521</f>
        <v>45876</v>
      </c>
      <c r="B523" s="3">
        <f>'Historical Prices'!C521/'Historical Prices'!C520-1</f>
        <v>5.0873919086260599E-3</v>
      </c>
      <c r="C523" s="3">
        <f>'Historical Prices'!B521/'Historical Prices'!B520-1</f>
        <v>4.855210028754442E-3</v>
      </c>
      <c r="D523" s="3">
        <f>'Historical Prices'!D521/'Historical Prices'!D520-1</f>
        <v>-2.2859230722696022E-3</v>
      </c>
      <c r="E523" s="3">
        <f>'Historical Prices'!E521/'Historical Prices'!E520-1</f>
        <v>1.3916239572986377E-4</v>
      </c>
      <c r="F523" s="3">
        <f>'Historical Prices'!F521/'Historical Prices'!F520-1</f>
        <v>-5.0813092802536319E-3</v>
      </c>
      <c r="G523" s="9">
        <f t="shared" si="56"/>
        <v>4.8909142698777466E-4</v>
      </c>
      <c r="H523" s="6">
        <f t="shared" si="57"/>
        <v>489.09142698777464</v>
      </c>
      <c r="I523" s="9">
        <f t="shared" si="48"/>
        <v>1.5594727193304502E-2</v>
      </c>
      <c r="J523">
        <f t="shared" si="49"/>
        <v>0</v>
      </c>
      <c r="K523" s="5">
        <f t="shared" si="50"/>
        <v>1.5795492583766321E-2</v>
      </c>
      <c r="L523">
        <f t="shared" si="51"/>
        <v>0</v>
      </c>
      <c r="M523" s="9">
        <f t="shared" si="52"/>
        <v>2.2377710133979153E-2</v>
      </c>
      <c r="N523">
        <f t="shared" si="53"/>
        <v>0</v>
      </c>
      <c r="O523" s="5">
        <f t="shared" si="54"/>
        <v>2.2545514688990426E-2</v>
      </c>
      <c r="P523">
        <f t="shared" si="55"/>
        <v>0</v>
      </c>
    </row>
    <row r="524" spans="1:16" x14ac:dyDescent="0.25">
      <c r="A524" s="2">
        <f>'Historical Prices'!A522</f>
        <v>45877</v>
      </c>
      <c r="B524" s="3">
        <f>'Historical Prices'!C522/'Historical Prices'!C521-1</f>
        <v>-1.0774760784228898E-2</v>
      </c>
      <c r="C524" s="3">
        <f>'Historical Prices'!B522/'Historical Prices'!B521-1</f>
        <v>-1.6818443314645326E-2</v>
      </c>
      <c r="D524" s="3">
        <f>'Historical Prices'!D522/'Historical Prices'!D521-1</f>
        <v>-3.0549380701093698E-3</v>
      </c>
      <c r="E524" s="3">
        <f>'Historical Prices'!E522/'Historical Prices'!E521-1</f>
        <v>-9.6039534597847087E-3</v>
      </c>
      <c r="F524" s="3">
        <f>'Historical Prices'!F522/'Historical Prices'!F521-1</f>
        <v>-2.0834084013196419E-2</v>
      </c>
      <c r="G524" s="9">
        <f t="shared" si="56"/>
        <v>-1.1853007273663941E-2</v>
      </c>
      <c r="H524" s="6">
        <f t="shared" si="57"/>
        <v>-11853.007273663941</v>
      </c>
      <c r="I524" s="9">
        <f t="shared" si="48"/>
        <v>1.5594727193304502E-2</v>
      </c>
      <c r="J524">
        <f t="shared" si="49"/>
        <v>0</v>
      </c>
      <c r="K524" s="5">
        <f t="shared" si="50"/>
        <v>1.5790569429004458E-2</v>
      </c>
      <c r="L524">
        <f t="shared" si="51"/>
        <v>0</v>
      </c>
      <c r="M524" s="9">
        <f t="shared" si="52"/>
        <v>2.2377710133979153E-2</v>
      </c>
      <c r="N524">
        <f t="shared" si="53"/>
        <v>0</v>
      </c>
      <c r="O524" s="5">
        <f t="shared" si="54"/>
        <v>2.2516900430054745E-2</v>
      </c>
      <c r="P524">
        <f t="shared" si="55"/>
        <v>0</v>
      </c>
    </row>
    <row r="525" spans="1:16" x14ac:dyDescent="0.25">
      <c r="A525" s="2">
        <f>'Historical Prices'!A523</f>
        <v>45880</v>
      </c>
      <c r="B525" s="3">
        <f>'Historical Prices'!C523/'Historical Prices'!C522-1</f>
        <v>1.099339634295271E-2</v>
      </c>
      <c r="C525" s="3">
        <f>'Historical Prices'!B523/'Historical Prices'!B522-1</f>
        <v>1.4365436959338673E-2</v>
      </c>
      <c r="D525" s="3">
        <f>'Historical Prices'!D523/'Historical Prices'!D522-1</f>
        <v>4.8741969928922657E-4</v>
      </c>
      <c r="E525" s="3">
        <f>'Historical Prices'!E523/'Historical Prices'!E522-1</f>
        <v>3.5836661980923612E-3</v>
      </c>
      <c r="F525" s="3">
        <f>'Historical Prices'!F523/'Historical Prices'!F522-1</f>
        <v>1.3357993842666671E-2</v>
      </c>
      <c r="G525" s="9">
        <f t="shared" si="56"/>
        <v>8.3098373268166992E-3</v>
      </c>
      <c r="H525" s="6">
        <f t="shared" si="57"/>
        <v>8309.8373268166997</v>
      </c>
      <c r="I525" s="9">
        <f t="shared" si="48"/>
        <v>1.5594727193304502E-2</v>
      </c>
      <c r="J525">
        <f t="shared" si="49"/>
        <v>0</v>
      </c>
      <c r="K525" s="5">
        <f t="shared" si="50"/>
        <v>1.5868198338804027E-2</v>
      </c>
      <c r="L525">
        <f t="shared" si="51"/>
        <v>0</v>
      </c>
      <c r="M525" s="9">
        <f t="shared" si="52"/>
        <v>2.2377710133979153E-2</v>
      </c>
      <c r="N525">
        <f t="shared" si="53"/>
        <v>0</v>
      </c>
      <c r="O525" s="5">
        <f t="shared" si="54"/>
        <v>2.2613104311605698E-2</v>
      </c>
      <c r="P525">
        <f t="shared" si="55"/>
        <v>0</v>
      </c>
    </row>
    <row r="526" spans="1:16" x14ac:dyDescent="0.25">
      <c r="A526" s="2">
        <f>'Historical Prices'!A524</f>
        <v>45881</v>
      </c>
      <c r="B526" s="3">
        <f>'Historical Prices'!C524/'Historical Prices'!C523-1</f>
        <v>-1.287827459922819E-2</v>
      </c>
      <c r="C526" s="3">
        <f>'Historical Prices'!B524/'Historical Prices'!B523-1</f>
        <v>-3.0746561058669908E-3</v>
      </c>
      <c r="D526" s="3">
        <f>'Historical Prices'!D524/'Historical Prices'!D523-1</f>
        <v>-2.5251962674345263E-3</v>
      </c>
      <c r="E526" s="3">
        <f>'Historical Prices'!E524/'Historical Prices'!E523-1</f>
        <v>-2.8706502498461184E-3</v>
      </c>
      <c r="F526" s="3">
        <f>'Historical Prices'!F524/'Historical Prices'!F523-1</f>
        <v>1.5786778337951279E-2</v>
      </c>
      <c r="G526" s="9">
        <f t="shared" si="56"/>
        <v>-1.3357544155247498E-3</v>
      </c>
      <c r="H526" s="6">
        <f t="shared" si="57"/>
        <v>-1335.7544155247497</v>
      </c>
      <c r="I526" s="9">
        <f t="shared" si="48"/>
        <v>1.5594727193304502E-2</v>
      </c>
      <c r="J526">
        <f t="shared" si="49"/>
        <v>0</v>
      </c>
      <c r="K526" s="5">
        <f t="shared" si="50"/>
        <v>1.5863078704472795E-2</v>
      </c>
      <c r="L526">
        <f t="shared" si="51"/>
        <v>0</v>
      </c>
      <c r="M526" s="9">
        <f t="shared" si="52"/>
        <v>2.2377710133979153E-2</v>
      </c>
      <c r="N526">
        <f t="shared" si="53"/>
        <v>0</v>
      </c>
      <c r="O526" s="5">
        <f t="shared" si="54"/>
        <v>2.2601811344720987E-2</v>
      </c>
      <c r="P526">
        <f t="shared" si="55"/>
        <v>0</v>
      </c>
    </row>
    <row r="527" spans="1:16" x14ac:dyDescent="0.25">
      <c r="A527" s="2">
        <f>'Historical Prices'!A525</f>
        <v>45882</v>
      </c>
      <c r="B527" s="3">
        <f>'Historical Prices'!C525/'Historical Prices'!C524-1</f>
        <v>5.2794166373750784E-3</v>
      </c>
      <c r="C527" s="3">
        <f>'Historical Prices'!B525/'Historical Prices'!B524-1</f>
        <v>-3.7383465668643368E-3</v>
      </c>
      <c r="D527" s="3">
        <f>'Historical Prices'!D525/'Historical Prices'!D524-1</f>
        <v>-8.4386300886507559E-4</v>
      </c>
      <c r="E527" s="3">
        <f>'Historical Prices'!E525/'Historical Prices'!E524-1</f>
        <v>1.7554986255381433E-3</v>
      </c>
      <c r="F527" s="3">
        <f>'Historical Prices'!F525/'Historical Prices'!F524-1</f>
        <v>1.4120201068150706E-2</v>
      </c>
      <c r="G527" s="9">
        <f t="shared" si="56"/>
        <v>3.2786857701576793E-3</v>
      </c>
      <c r="H527" s="6">
        <f t="shared" si="57"/>
        <v>3278.6857701576791</v>
      </c>
      <c r="I527" s="9">
        <f t="shared" si="48"/>
        <v>1.5594727193304502E-2</v>
      </c>
      <c r="J527">
        <f t="shared" si="49"/>
        <v>0</v>
      </c>
      <c r="K527" s="5">
        <f t="shared" si="50"/>
        <v>1.588248886103677E-2</v>
      </c>
      <c r="L527">
        <f t="shared" si="51"/>
        <v>0</v>
      </c>
      <c r="M527" s="9">
        <f t="shared" si="52"/>
        <v>2.2377710133979153E-2</v>
      </c>
      <c r="N527">
        <f t="shared" si="53"/>
        <v>0</v>
      </c>
      <c r="O527" s="5">
        <f t="shared" si="54"/>
        <v>2.2614625035086877E-2</v>
      </c>
      <c r="P527">
        <f t="shared" si="55"/>
        <v>0</v>
      </c>
    </row>
    <row r="528" spans="1:16" x14ac:dyDescent="0.25">
      <c r="A528" s="2">
        <f>'Historical Prices'!A526</f>
        <v>45883</v>
      </c>
      <c r="B528" s="3">
        <f>'Historical Prices'!C526/'Historical Prices'!C525-1</f>
        <v>5.453712621415141E-3</v>
      </c>
      <c r="C528" s="3">
        <f>'Historical Prices'!B526/'Historical Prices'!B525-1</f>
        <v>2.063731342702102E-3</v>
      </c>
      <c r="D528" s="3">
        <f>'Historical Prices'!D526/'Historical Prices'!D525-1</f>
        <v>4.5749006445214846E-3</v>
      </c>
      <c r="E528" s="3">
        <f>'Historical Prices'!E526/'Historical Prices'!E525-1</f>
        <v>1.4790323085988044E-2</v>
      </c>
      <c r="F528" s="3">
        <f>'Historical Prices'!F526/'Historical Prices'!F525-1</f>
        <v>-5.1185428456040905E-3</v>
      </c>
      <c r="G528" s="9">
        <f t="shared" si="56"/>
        <v>4.3084536848309214E-3</v>
      </c>
      <c r="H528" s="6">
        <f t="shared" si="57"/>
        <v>4308.4536848309217</v>
      </c>
      <c r="I528" s="9">
        <f t="shared" si="48"/>
        <v>1.5594727193304502E-2</v>
      </c>
      <c r="J528">
        <f t="shared" si="49"/>
        <v>0</v>
      </c>
      <c r="K528" s="5">
        <f t="shared" si="50"/>
        <v>1.5808791630523004E-2</v>
      </c>
      <c r="L528">
        <f t="shared" si="51"/>
        <v>0</v>
      </c>
      <c r="M528" s="9">
        <f t="shared" si="52"/>
        <v>2.2377710133979153E-2</v>
      </c>
      <c r="N528">
        <f t="shared" si="53"/>
        <v>0</v>
      </c>
      <c r="O528" s="5">
        <f t="shared" si="54"/>
        <v>2.2530396930496105E-2</v>
      </c>
      <c r="P528">
        <f t="shared" si="55"/>
        <v>0</v>
      </c>
    </row>
    <row r="529" spans="1:16" x14ac:dyDescent="0.25">
      <c r="A529" s="2">
        <f>'Historical Prices'!A527</f>
        <v>45887</v>
      </c>
      <c r="B529" s="3">
        <f>'Historical Prices'!C527/'Historical Prices'!C526-1</f>
        <v>6.2779420585099555E-3</v>
      </c>
      <c r="C529" s="3">
        <f>'Historical Prices'!B527/'Historical Prices'!B526-1</f>
        <v>1.3480749546828985E-2</v>
      </c>
      <c r="D529" s="3">
        <f>'Historical Prices'!D527/'Historical Prices'!D526-1</f>
        <v>5.114495053901269E-3</v>
      </c>
      <c r="E529" s="3">
        <f>'Historical Prices'!E527/'Historical Prices'!E526-1</f>
        <v>-8.2199156518627525E-3</v>
      </c>
      <c r="F529" s="3">
        <f>'Historical Prices'!F527/'Historical Prices'!F526-1</f>
        <v>3.6044662471416133E-2</v>
      </c>
      <c r="G529" s="9">
        <f t="shared" si="56"/>
        <v>1.0413224271676472E-2</v>
      </c>
      <c r="H529" s="6">
        <f t="shared" si="57"/>
        <v>10413.224271676472</v>
      </c>
      <c r="I529" s="9">
        <f t="shared" si="48"/>
        <v>1.5594727193304502E-2</v>
      </c>
      <c r="J529">
        <f t="shared" si="49"/>
        <v>0</v>
      </c>
      <c r="K529" s="5">
        <f t="shared" si="50"/>
        <v>1.5806019677479109E-2</v>
      </c>
      <c r="L529">
        <f t="shared" si="51"/>
        <v>0</v>
      </c>
      <c r="M529" s="9">
        <f t="shared" si="52"/>
        <v>2.2377710133979153E-2</v>
      </c>
      <c r="N529">
        <f t="shared" si="53"/>
        <v>0</v>
      </c>
      <c r="O529" s="5">
        <f t="shared" si="54"/>
        <v>2.2528911947508803E-2</v>
      </c>
      <c r="P529">
        <f t="shared" si="55"/>
        <v>0</v>
      </c>
    </row>
    <row r="530" spans="1:16" x14ac:dyDescent="0.25">
      <c r="A530" s="2">
        <f>'Historical Prices'!A528</f>
        <v>45888</v>
      </c>
      <c r="B530" s="3">
        <f>'Historical Prices'!C528/'Historical Prices'!C527-1</f>
        <v>-6.2387753881072427E-3</v>
      </c>
      <c r="C530" s="3">
        <f>'Historical Prices'!B528/'Historical Prices'!B527-1</f>
        <v>5.5417478905339657E-4</v>
      </c>
      <c r="D530" s="3">
        <f>'Historical Prices'!D528/'Historical Prices'!D527-1</f>
        <v>1.1850014681662469E-3</v>
      </c>
      <c r="E530" s="3">
        <f>'Historical Prices'!E528/'Historical Prices'!E527-1</f>
        <v>2.9253004670113381E-3</v>
      </c>
      <c r="F530" s="3">
        <f>'Historical Prices'!F528/'Historical Prices'!F527-1</f>
        <v>-8.6015858187119543E-3</v>
      </c>
      <c r="G530" s="9">
        <f t="shared" si="56"/>
        <v>-2.0621620945311839E-3</v>
      </c>
      <c r="H530" s="6">
        <f t="shared" si="57"/>
        <v>-2062.1620945311838</v>
      </c>
      <c r="I530" s="9">
        <f t="shared" si="48"/>
        <v>1.5594727193304502E-2</v>
      </c>
      <c r="J530">
        <f t="shared" si="49"/>
        <v>0</v>
      </c>
      <c r="K530" s="5">
        <f t="shared" si="50"/>
        <v>1.5742387575597171E-2</v>
      </c>
      <c r="L530">
        <f t="shared" si="51"/>
        <v>0</v>
      </c>
      <c r="M530" s="9">
        <f t="shared" si="52"/>
        <v>2.2377710133979153E-2</v>
      </c>
      <c r="N530">
        <f t="shared" si="53"/>
        <v>0</v>
      </c>
      <c r="O530" s="5">
        <f t="shared" si="54"/>
        <v>2.2421861671005835E-2</v>
      </c>
      <c r="P530">
        <f t="shared" si="55"/>
        <v>0</v>
      </c>
    </row>
    <row r="531" spans="1:16" x14ac:dyDescent="0.25">
      <c r="A531" s="2">
        <f>'Historical Prices'!A529</f>
        <v>45889</v>
      </c>
      <c r="B531" s="3">
        <f>'Historical Prices'!C529/'Historical Prices'!C528-1</f>
        <v>-1.4564646088448541E-3</v>
      </c>
      <c r="C531" s="3">
        <f>'Historical Prices'!B529/'Historical Prices'!B528-1</f>
        <v>-2.7695648094175906E-3</v>
      </c>
      <c r="D531" s="3">
        <f>'Historical Prices'!D529/'Historical Prices'!D528-1</f>
        <v>-3.9685274109849678E-3</v>
      </c>
      <c r="E531" s="3">
        <f>'Historical Prices'!E529/'Historical Prices'!E528-1</f>
        <v>3.902767715754063E-2</v>
      </c>
      <c r="F531" s="3">
        <f>'Historical Prices'!F529/'Historical Prices'!F528-1</f>
        <v>1.2403114802017834E-2</v>
      </c>
      <c r="G531" s="9">
        <f t="shared" si="56"/>
        <v>7.8609826461148308E-3</v>
      </c>
      <c r="H531" s="6">
        <f t="shared" si="57"/>
        <v>7860.9826461148305</v>
      </c>
      <c r="I531" s="9">
        <f t="shared" si="48"/>
        <v>1.5594727193304502E-2</v>
      </c>
      <c r="J531">
        <f t="shared" si="49"/>
        <v>0</v>
      </c>
      <c r="K531" s="5">
        <f t="shared" si="50"/>
        <v>1.5687588015600842E-2</v>
      </c>
      <c r="L531">
        <f t="shared" si="51"/>
        <v>0</v>
      </c>
      <c r="M531" s="9">
        <f t="shared" si="52"/>
        <v>2.2377710133979153E-2</v>
      </c>
      <c r="N531">
        <f t="shared" si="53"/>
        <v>0</v>
      </c>
      <c r="O531" s="5">
        <f t="shared" si="54"/>
        <v>2.2355746936263649E-2</v>
      </c>
      <c r="P531">
        <f t="shared" si="55"/>
        <v>0</v>
      </c>
    </row>
    <row r="532" spans="1:16" x14ac:dyDescent="0.25">
      <c r="A532" s="2">
        <f>'Historical Prices'!A530</f>
        <v>45890</v>
      </c>
      <c r="B532" s="3">
        <f>'Historical Prices'!C530/'Historical Prices'!C529-1</f>
        <v>1.5088937729046403E-3</v>
      </c>
      <c r="C532" s="3">
        <f>'Historical Prices'!B530/'Historical Prices'!B529-1</f>
        <v>-1.2034363927719838E-3</v>
      </c>
      <c r="D532" s="3">
        <f>'Historical Prices'!D530/'Historical Prices'!D529-1</f>
        <v>1.0764703351546778E-2</v>
      </c>
      <c r="E532" s="3">
        <f>'Historical Prices'!E530/'Historical Prices'!E529-1</f>
        <v>1.3371289742147852E-4</v>
      </c>
      <c r="F532" s="3">
        <f>'Historical Prices'!F530/'Historical Prices'!F529-1</f>
        <v>-6.0371973309477633E-3</v>
      </c>
      <c r="G532" s="9">
        <f t="shared" si="56"/>
        <v>1.4106421316378611E-3</v>
      </c>
      <c r="H532" s="6">
        <f t="shared" si="57"/>
        <v>1410.6421316378612</v>
      </c>
      <c r="I532" s="9">
        <f t="shared" si="48"/>
        <v>1.5594727193304502E-2</v>
      </c>
      <c r="J532">
        <f t="shared" si="49"/>
        <v>0</v>
      </c>
      <c r="K532" s="5">
        <f t="shared" si="50"/>
        <v>1.5687762436226861E-2</v>
      </c>
      <c r="L532">
        <f t="shared" si="51"/>
        <v>0</v>
      </c>
      <c r="M532" s="9">
        <f t="shared" si="52"/>
        <v>2.2377710133979153E-2</v>
      </c>
      <c r="N532">
        <f t="shared" si="53"/>
        <v>0</v>
      </c>
      <c r="O532" s="5">
        <f t="shared" si="54"/>
        <v>2.2360737858390236E-2</v>
      </c>
      <c r="P532">
        <f t="shared" si="55"/>
        <v>0</v>
      </c>
    </row>
    <row r="533" spans="1:16" x14ac:dyDescent="0.25">
      <c r="A533" s="2">
        <f>'Historical Prices'!A531</f>
        <v>45891</v>
      </c>
      <c r="B533" s="3">
        <f>'Historical Prices'!C531/'Historical Prices'!C530-1</f>
        <v>-1.3358792659587615E-2</v>
      </c>
      <c r="C533" s="3">
        <f>'Historical Prices'!B531/'Historical Prices'!B530-1</f>
        <v>-7.4150165010896663E-3</v>
      </c>
      <c r="D533" s="3">
        <f>'Historical Prices'!D531/'Historical Prices'!D530-1</f>
        <v>-6.638941201890014E-3</v>
      </c>
      <c r="E533" s="3">
        <f>'Historical Prices'!E531/'Historical Prices'!E530-1</f>
        <v>-5.9476514608045594E-3</v>
      </c>
      <c r="F533" s="3">
        <f>'Historical Prices'!F531/'Historical Prices'!F530-1</f>
        <v>8.2663644998202113E-3</v>
      </c>
      <c r="G533" s="9">
        <f t="shared" si="56"/>
        <v>-5.1928026603769942E-3</v>
      </c>
      <c r="H533" s="6">
        <f t="shared" si="57"/>
        <v>-5192.802660376994</v>
      </c>
      <c r="I533" s="9">
        <f t="shared" si="48"/>
        <v>1.5594727193304502E-2</v>
      </c>
      <c r="J533">
        <f t="shared" si="49"/>
        <v>0</v>
      </c>
      <c r="K533" s="5">
        <f t="shared" si="50"/>
        <v>1.5675236846212623E-2</v>
      </c>
      <c r="L533">
        <f t="shared" si="51"/>
        <v>0</v>
      </c>
      <c r="M533" s="9">
        <f t="shared" si="52"/>
        <v>2.2377710133979153E-2</v>
      </c>
      <c r="N533">
        <f t="shared" si="53"/>
        <v>0</v>
      </c>
      <c r="O533" s="5">
        <f t="shared" si="54"/>
        <v>2.2347834780875011E-2</v>
      </c>
      <c r="P533">
        <f t="shared" si="55"/>
        <v>0</v>
      </c>
    </row>
    <row r="534" spans="1:16" x14ac:dyDescent="0.25">
      <c r="A534" s="2">
        <f>'Historical Prices'!A532</f>
        <v>45894</v>
      </c>
      <c r="B534" s="3">
        <f>'Historical Prices'!C532/'Historical Prices'!C531-1</f>
        <v>-2.5448220923651732E-4</v>
      </c>
      <c r="C534" s="3">
        <f>'Historical Prices'!B532/'Historical Prices'!B531-1</f>
        <v>-8.4040112926586641E-4</v>
      </c>
      <c r="D534" s="3">
        <f>'Historical Prices'!D532/'Historical Prices'!D531-1</f>
        <v>-2.2278561375354E-3</v>
      </c>
      <c r="E534" s="3">
        <f>'Historical Prices'!E532/'Historical Prices'!E531-1</f>
        <v>2.9983180470175563E-2</v>
      </c>
      <c r="F534" s="3">
        <f>'Historical Prices'!F532/'Historical Prices'!F531-1</f>
        <v>-1.2048138617317683E-3</v>
      </c>
      <c r="G534" s="9">
        <f t="shared" si="56"/>
        <v>4.5742160403807715E-3</v>
      </c>
      <c r="H534" s="6">
        <f t="shared" si="57"/>
        <v>4574.2160403807711</v>
      </c>
      <c r="I534" s="9">
        <f t="shared" si="48"/>
        <v>1.5594727193304502E-2</v>
      </c>
      <c r="J534">
        <f t="shared" si="49"/>
        <v>0</v>
      </c>
      <c r="K534" s="5">
        <f t="shared" si="50"/>
        <v>1.5711797496559023E-2</v>
      </c>
      <c r="L534">
        <f t="shared" si="51"/>
        <v>0</v>
      </c>
      <c r="M534" s="9">
        <f t="shared" si="52"/>
        <v>2.2377710133979153E-2</v>
      </c>
      <c r="N534">
        <f t="shared" si="53"/>
        <v>0</v>
      </c>
      <c r="O534" s="5">
        <f t="shared" si="54"/>
        <v>2.2388664430180553E-2</v>
      </c>
      <c r="P534">
        <f t="shared" si="55"/>
        <v>0</v>
      </c>
    </row>
    <row r="535" spans="1:16" x14ac:dyDescent="0.25">
      <c r="A535" s="2">
        <f>'Historical Prices'!A533</f>
        <v>45895</v>
      </c>
      <c r="B535" s="3">
        <f>'Historical Prices'!C533/'Historical Prices'!C532-1</f>
        <v>-8.8080586202314848E-3</v>
      </c>
      <c r="C535" s="3">
        <f>'Historical Prices'!B533/'Historical Prices'!B532-1</f>
        <v>-1.8598111474496082E-2</v>
      </c>
      <c r="D535" s="3">
        <f>'Historical Prices'!D533/'Historical Prices'!D532-1</f>
        <v>-1.1582443506491624E-2</v>
      </c>
      <c r="E535" s="3">
        <f>'Historical Prices'!E533/'Historical Prices'!E532-1</f>
        <v>-1.6317510455677864E-3</v>
      </c>
      <c r="F535" s="3">
        <f>'Historical Prices'!F533/'Historical Prices'!F532-1</f>
        <v>-2.0035910020408387E-2</v>
      </c>
      <c r="G535" s="9">
        <f t="shared" si="56"/>
        <v>-1.2089070801970735E-2</v>
      </c>
      <c r="H535" s="6">
        <f t="shared" si="57"/>
        <v>-12089.070801970734</v>
      </c>
      <c r="I535" s="9">
        <f t="shared" si="48"/>
        <v>1.5594727193304502E-2</v>
      </c>
      <c r="J535">
        <f t="shared" si="49"/>
        <v>0</v>
      </c>
      <c r="K535" s="5">
        <f t="shared" si="50"/>
        <v>1.5703223921599684E-2</v>
      </c>
      <c r="L535">
        <f t="shared" si="51"/>
        <v>0</v>
      </c>
      <c r="M535" s="9">
        <f t="shared" si="52"/>
        <v>2.2377710133979153E-2</v>
      </c>
      <c r="N535">
        <f t="shared" si="53"/>
        <v>0</v>
      </c>
      <c r="O535" s="5">
        <f t="shared" si="54"/>
        <v>2.2382463391434015E-2</v>
      </c>
      <c r="P535">
        <f t="shared" si="55"/>
        <v>0</v>
      </c>
    </row>
    <row r="536" spans="1:16" x14ac:dyDescent="0.25">
      <c r="A536" s="2">
        <f>'Historical Prices'!A534</f>
        <v>45897</v>
      </c>
      <c r="B536" s="3">
        <f>'Historical Prices'!C534/'Historical Prices'!C533-1</f>
        <v>-1.6026371585568855E-2</v>
      </c>
      <c r="C536" s="3">
        <f>'Historical Prices'!B534/'Historical Prices'!B533-1</f>
        <v>1.7140949232123948E-3</v>
      </c>
      <c r="D536" s="3">
        <f>'Historical Prices'!D534/'Historical Prices'!D533-1</f>
        <v>-1.2353565256035037E-2</v>
      </c>
      <c r="E536" s="3">
        <f>'Historical Prices'!E534/'Historical Prices'!E533-1</f>
        <v>-1.9286033167989713E-2</v>
      </c>
      <c r="F536" s="3">
        <f>'Historical Prices'!F534/'Historical Prices'!F533-1</f>
        <v>-1.065803610856364E-2</v>
      </c>
      <c r="G536" s="9">
        <f t="shared" si="56"/>
        <v>-1.1485202738941117E-2</v>
      </c>
      <c r="H536" s="6">
        <f t="shared" si="57"/>
        <v>-11485.202738941116</v>
      </c>
      <c r="I536" s="9">
        <f t="shared" si="48"/>
        <v>1.5594727193304502E-2</v>
      </c>
      <c r="J536">
        <f t="shared" si="49"/>
        <v>0</v>
      </c>
      <c r="K536" s="5">
        <f t="shared" si="50"/>
        <v>1.5816033486871158E-2</v>
      </c>
      <c r="L536">
        <f t="shared" si="51"/>
        <v>0</v>
      </c>
      <c r="M536" s="9">
        <f t="shared" si="52"/>
        <v>2.2377710133979153E-2</v>
      </c>
      <c r="N536">
        <f t="shared" si="53"/>
        <v>0</v>
      </c>
      <c r="O536" s="5">
        <f t="shared" si="54"/>
        <v>2.2508304912200312E-2</v>
      </c>
      <c r="P536">
        <f t="shared" si="55"/>
        <v>0</v>
      </c>
    </row>
    <row r="537" spans="1:16" x14ac:dyDescent="0.25">
      <c r="A537" s="2">
        <f>'Historical Prices'!A535</f>
        <v>45898</v>
      </c>
      <c r="B537" s="3">
        <f>'Historical Prices'!C535/'Historical Prices'!C534-1</f>
        <v>-6.4731648488907112E-3</v>
      </c>
      <c r="C537" s="3">
        <f>'Historical Prices'!B535/'Historical Prices'!B534-1</f>
        <v>-6.3694149159795321E-3</v>
      </c>
      <c r="D537" s="3">
        <f>'Historical Prices'!D535/'Historical Prices'!D534-1</f>
        <v>-9.2911871242451483E-4</v>
      </c>
      <c r="E537" s="3">
        <f>'Historical Prices'!E535/'Historical Prices'!E534-1</f>
        <v>-2.0332040675054786E-2</v>
      </c>
      <c r="F537" s="3">
        <f>'Historical Prices'!F535/'Historical Prices'!F534-1</f>
        <v>-2.9071791423372351E-2</v>
      </c>
      <c r="G537" s="9">
        <f t="shared" si="56"/>
        <v>-1.2103710715985323E-2</v>
      </c>
      <c r="H537" s="6">
        <f t="shared" si="57"/>
        <v>-12103.710715985324</v>
      </c>
      <c r="I537" s="9">
        <f t="shared" si="48"/>
        <v>1.5594727193304502E-2</v>
      </c>
      <c r="J537">
        <f t="shared" si="49"/>
        <v>0</v>
      </c>
      <c r="K537" s="5">
        <f t="shared" si="50"/>
        <v>1.5921524663972165E-2</v>
      </c>
      <c r="L537">
        <f t="shared" si="51"/>
        <v>0</v>
      </c>
      <c r="M537" s="9">
        <f t="shared" si="52"/>
        <v>2.2377710133979153E-2</v>
      </c>
      <c r="N537">
        <f t="shared" si="53"/>
        <v>0</v>
      </c>
      <c r="O537" s="5">
        <f t="shared" si="54"/>
        <v>2.2629526448045754E-2</v>
      </c>
      <c r="P537">
        <f t="shared" si="55"/>
        <v>0</v>
      </c>
    </row>
    <row r="538" spans="1:16" x14ac:dyDescent="0.25">
      <c r="A538" s="2">
        <f>'Historical Prices'!A536</f>
        <v>45901</v>
      </c>
      <c r="B538" s="3">
        <f>'Historical Prices'!C536/'Historical Prices'!C535-1</f>
        <v>-1.0508991029281045E-3</v>
      </c>
      <c r="C538" s="3">
        <f>'Historical Prices'!B536/'Historical Prices'!B535-1</f>
        <v>1.5595136798010723E-2</v>
      </c>
      <c r="D538" s="3">
        <f>'Historical Prices'!D536/'Historical Prices'!D535-1</f>
        <v>9.4433762461092474E-3</v>
      </c>
      <c r="E538" s="3">
        <f>'Historical Prices'!E536/'Historical Prices'!E535-1</f>
        <v>2.0277718470835815E-2</v>
      </c>
      <c r="F538" s="3">
        <f>'Historical Prices'!F536/'Historical Prices'!F535-1</f>
        <v>3.6224421422291542E-2</v>
      </c>
      <c r="G538" s="9">
        <f t="shared" si="56"/>
        <v>1.553134592863822E-2</v>
      </c>
      <c r="H538" s="6">
        <f t="shared" si="57"/>
        <v>15531.34592863822</v>
      </c>
      <c r="I538" s="9">
        <f t="shared" si="48"/>
        <v>1.5594727193304502E-2</v>
      </c>
      <c r="J538">
        <f t="shared" si="49"/>
        <v>0</v>
      </c>
      <c r="K538" s="5">
        <f t="shared" si="50"/>
        <v>1.6030030524718304E-2</v>
      </c>
      <c r="L538">
        <f t="shared" si="51"/>
        <v>0</v>
      </c>
      <c r="M538" s="9">
        <f t="shared" si="52"/>
        <v>2.2377710133979153E-2</v>
      </c>
      <c r="N538">
        <f t="shared" si="53"/>
        <v>0</v>
      </c>
      <c r="O538" s="5">
        <f t="shared" si="54"/>
        <v>2.2758255836267116E-2</v>
      </c>
      <c r="P538">
        <f t="shared" si="55"/>
        <v>0</v>
      </c>
    </row>
    <row r="539" spans="1:16" x14ac:dyDescent="0.25">
      <c r="A539" s="2">
        <f>'Historical Prices'!A537</f>
        <v>45902</v>
      </c>
      <c r="B539" s="3">
        <f>'Historical Prices'!C537/'Historical Prices'!C536-1</f>
        <v>-6.4169150965409649E-3</v>
      </c>
      <c r="C539" s="3">
        <f>'Historical Prices'!B537/'Historical Prices'!B536-1</f>
        <v>-4.9930332311483028E-3</v>
      </c>
      <c r="D539" s="3">
        <f>'Historical Prices'!D537/'Historical Prices'!D536-1</f>
        <v>-1.1906445480868499E-2</v>
      </c>
      <c r="E539" s="3">
        <f>'Historical Prices'!E537/'Historical Prices'!E536-1</f>
        <v>-4.669118749229817E-4</v>
      </c>
      <c r="F539" s="3">
        <f>'Historical Prices'!F537/'Historical Prices'!F536-1</f>
        <v>-2.4401225977027208E-2</v>
      </c>
      <c r="G539" s="9">
        <f t="shared" si="56"/>
        <v>-9.7812224872075408E-3</v>
      </c>
      <c r="H539" s="6">
        <f t="shared" si="57"/>
        <v>-9781.2224872075403</v>
      </c>
      <c r="I539" s="9">
        <f t="shared" si="48"/>
        <v>1.5594727193304502E-2</v>
      </c>
      <c r="J539">
        <f t="shared" si="49"/>
        <v>0</v>
      </c>
      <c r="K539" s="5">
        <f t="shared" si="50"/>
        <v>1.6031537121722776E-2</v>
      </c>
      <c r="L539">
        <f t="shared" si="51"/>
        <v>0</v>
      </c>
      <c r="M539" s="9">
        <f t="shared" si="52"/>
        <v>2.2377710133979153E-2</v>
      </c>
      <c r="N539">
        <f t="shared" si="53"/>
        <v>0</v>
      </c>
      <c r="O539" s="5">
        <f t="shared" si="54"/>
        <v>2.2790782506424283E-2</v>
      </c>
      <c r="P539">
        <f t="shared" si="55"/>
        <v>0</v>
      </c>
    </row>
    <row r="540" spans="1:16" x14ac:dyDescent="0.25">
      <c r="A540" s="2">
        <f>'Historical Prices'!A538</f>
        <v>45903</v>
      </c>
      <c r="B540" s="3">
        <f>'Historical Prices'!C538/'Historical Prices'!C537-1</f>
        <v>1.0534648106045319E-2</v>
      </c>
      <c r="C540" s="3">
        <f>'Historical Prices'!B538/'Historical Prices'!B537-1</f>
        <v>-1.4201243111910955E-3</v>
      </c>
      <c r="D540" s="3">
        <f>'Historical Prices'!D538/'Historical Prices'!D537-1</f>
        <v>2.008334242761034E-3</v>
      </c>
      <c r="E540" s="3">
        <f>'Historical Prices'!E538/'Historical Prices'!E537-1</f>
        <v>-1.307803427917964E-2</v>
      </c>
      <c r="F540" s="3">
        <f>'Historical Prices'!F538/'Historical Prices'!F537-1</f>
        <v>1.5922029034167062E-2</v>
      </c>
      <c r="G540" s="9">
        <f t="shared" si="56"/>
        <v>3.0778206421996882E-3</v>
      </c>
      <c r="H540" s="6">
        <f t="shared" si="57"/>
        <v>3077.8206421996883</v>
      </c>
      <c r="I540" s="9">
        <f t="shared" si="48"/>
        <v>1.5594727193304502E-2</v>
      </c>
      <c r="J540">
        <f t="shared" si="49"/>
        <v>0</v>
      </c>
      <c r="K540" s="5">
        <f t="shared" si="50"/>
        <v>1.6116974235786417E-2</v>
      </c>
      <c r="L540">
        <f t="shared" si="51"/>
        <v>0</v>
      </c>
      <c r="M540" s="9">
        <f t="shared" si="52"/>
        <v>2.2377710133979153E-2</v>
      </c>
      <c r="N540">
        <f t="shared" si="53"/>
        <v>0</v>
      </c>
      <c r="O540" s="5">
        <f t="shared" si="54"/>
        <v>2.2886361731815796E-2</v>
      </c>
      <c r="P540">
        <f t="shared" si="55"/>
        <v>0</v>
      </c>
    </row>
    <row r="541" spans="1:16" x14ac:dyDescent="0.25">
      <c r="A541" s="2">
        <f>'Historical Prices'!A539</f>
        <v>45904</v>
      </c>
      <c r="B541" s="3">
        <f>'Historical Prices'!C539/'Historical Prices'!C538-1</f>
        <v>7.1244893318576086E-3</v>
      </c>
      <c r="C541" s="3">
        <f>'Historical Prices'!B539/'Historical Prices'!B538-1</f>
        <v>-4.076936156648503E-3</v>
      </c>
      <c r="D541" s="3">
        <f>'Historical Prices'!D539/'Historical Prices'!D538-1</f>
        <v>6.0844777526645188E-3</v>
      </c>
      <c r="E541" s="3">
        <f>'Historical Prices'!E539/'Historical Prices'!E538-1</f>
        <v>-1.0884906516929416E-2</v>
      </c>
      <c r="F541" s="3">
        <f>'Historical Prices'!F539/'Historical Prices'!F538-1</f>
        <v>5.9494893983143671E-2</v>
      </c>
      <c r="G541" s="9">
        <f t="shared" si="56"/>
        <v>1.1612922254542848E-2</v>
      </c>
      <c r="H541" s="6">
        <f t="shared" si="57"/>
        <v>11612.922254542847</v>
      </c>
      <c r="I541" s="9">
        <f t="shared" si="48"/>
        <v>1.5594727193304502E-2</v>
      </c>
      <c r="J541">
        <f t="shared" si="49"/>
        <v>0</v>
      </c>
      <c r="K541" s="5">
        <f t="shared" si="50"/>
        <v>1.6111171574205271E-2</v>
      </c>
      <c r="L541">
        <f t="shared" si="51"/>
        <v>0</v>
      </c>
      <c r="M541" s="9">
        <f t="shared" si="52"/>
        <v>2.2377710133979153E-2</v>
      </c>
      <c r="N541">
        <f t="shared" si="53"/>
        <v>0</v>
      </c>
      <c r="O541" s="5">
        <f t="shared" si="54"/>
        <v>2.2881596828983677E-2</v>
      </c>
      <c r="P541">
        <f t="shared" si="55"/>
        <v>0</v>
      </c>
    </row>
    <row r="542" spans="1:16" x14ac:dyDescent="0.25">
      <c r="A542" s="2">
        <f>'Historical Prices'!A540</f>
        <v>45905</v>
      </c>
      <c r="B542" s="3">
        <f>'Historical Prices'!C540/'Historical Prices'!C539-1</f>
        <v>2.2367054380347806E-3</v>
      </c>
      <c r="C542" s="3">
        <f>'Historical Prices'!B540/'Historical Prices'!B539-1</f>
        <v>5.2360679143168554E-3</v>
      </c>
      <c r="D542" s="3">
        <f>'Historical Prices'!D540/'Historical Prices'!D539-1</f>
        <v>-1.9209816423763071E-3</v>
      </c>
      <c r="E542" s="3">
        <f>'Historical Prices'!E540/'Historical Prices'!E539-1</f>
        <v>-1.257702526786264E-2</v>
      </c>
      <c r="F542" s="3">
        <f>'Historical Prices'!F540/'Historical Prices'!F539-1</f>
        <v>2.2921157959802763E-2</v>
      </c>
      <c r="G542" s="9">
        <f t="shared" si="56"/>
        <v>3.103866478089913E-3</v>
      </c>
      <c r="H542" s="6">
        <f t="shared" si="57"/>
        <v>3103.866478089913</v>
      </c>
      <c r="I542" s="9">
        <f t="shared" si="48"/>
        <v>1.5594727193304502E-2</v>
      </c>
      <c r="J542">
        <f t="shared" si="49"/>
        <v>0</v>
      </c>
      <c r="K542" s="5">
        <f t="shared" si="50"/>
        <v>1.6117988768893643E-2</v>
      </c>
      <c r="L542">
        <f t="shared" si="51"/>
        <v>0</v>
      </c>
      <c r="M542" s="9">
        <f t="shared" si="52"/>
        <v>2.2377710133979153E-2</v>
      </c>
      <c r="N542">
        <f t="shared" si="53"/>
        <v>0</v>
      </c>
      <c r="O542" s="5">
        <f t="shared" si="54"/>
        <v>2.2904789290431059E-2</v>
      </c>
      <c r="P542">
        <f t="shared" si="55"/>
        <v>0</v>
      </c>
    </row>
    <row r="543" spans="1:16" x14ac:dyDescent="0.25">
      <c r="A543" s="2">
        <f>'Historical Prices'!A541</f>
        <v>45908</v>
      </c>
      <c r="B543" s="3">
        <f>'Historical Prices'!C541/'Historical Prices'!C540-1</f>
        <v>2.6987552237063284E-3</v>
      </c>
      <c r="C543" s="3">
        <f>'Historical Prices'!B541/'Historical Prices'!B540-1</f>
        <v>-3.7879195447820813E-4</v>
      </c>
      <c r="D543" s="3">
        <f>'Historical Prices'!D541/'Historical Prices'!D540-1</f>
        <v>-7.1342906036497844E-5</v>
      </c>
      <c r="E543" s="3">
        <f>'Historical Prices'!E541/'Historical Prices'!E540-1</f>
        <v>-8.0989786346489234E-3</v>
      </c>
      <c r="F543" s="3">
        <f>'Historical Prices'!F541/'Historical Prices'!F540-1</f>
        <v>0</v>
      </c>
      <c r="G543" s="9">
        <f t="shared" si="56"/>
        <v>-1.0098067768391826E-3</v>
      </c>
      <c r="H543" s="6">
        <f t="shared" si="57"/>
        <v>-1009.8067768391826</v>
      </c>
      <c r="I543" s="9">
        <f t="shared" si="48"/>
        <v>1.5594727193304502E-2</v>
      </c>
      <c r="J543">
        <f t="shared" si="49"/>
        <v>0</v>
      </c>
      <c r="K543" s="5">
        <f t="shared" si="50"/>
        <v>1.6054587327798239E-2</v>
      </c>
      <c r="L543">
        <f t="shared" si="51"/>
        <v>0</v>
      </c>
      <c r="M543" s="9">
        <f t="shared" si="52"/>
        <v>2.2377710133979153E-2</v>
      </c>
      <c r="N543">
        <f t="shared" si="53"/>
        <v>0</v>
      </c>
      <c r="O543" s="5">
        <f t="shared" si="54"/>
        <v>2.2833319527120671E-2</v>
      </c>
      <c r="P543">
        <f t="shared" si="55"/>
        <v>0</v>
      </c>
    </row>
    <row r="544" spans="1:16" x14ac:dyDescent="0.25">
      <c r="A544" s="2">
        <f>'Historical Prices'!A542</f>
        <v>45909</v>
      </c>
      <c r="B544" s="3">
        <f>'Historical Prices'!C542/'Historical Prices'!C541-1</f>
        <v>-8.798649970191974E-4</v>
      </c>
      <c r="C544" s="3">
        <f>'Historical Prices'!B542/'Historical Prices'!B541-1</f>
        <v>-3.1266229035130655E-3</v>
      </c>
      <c r="D544" s="3">
        <f>'Historical Prices'!D542/'Historical Prices'!D541-1</f>
        <v>7.1286564970440836E-4</v>
      </c>
      <c r="E544" s="3">
        <f>'Historical Prices'!E542/'Historical Prices'!E541-1</f>
        <v>4.982898341051567E-2</v>
      </c>
      <c r="F544" s="3">
        <f>'Historical Prices'!F542/'Historical Prices'!F541-1</f>
        <v>3.7907474016644072E-2</v>
      </c>
      <c r="G544" s="9">
        <f t="shared" si="56"/>
        <v>1.5895892508570861E-2</v>
      </c>
      <c r="H544" s="6">
        <f t="shared" si="57"/>
        <v>15895.892508570862</v>
      </c>
      <c r="I544" s="9">
        <f t="shared" si="48"/>
        <v>1.5594727193304502E-2</v>
      </c>
      <c r="J544">
        <f t="shared" si="49"/>
        <v>0</v>
      </c>
      <c r="K544" s="5">
        <f t="shared" si="50"/>
        <v>1.6059192218161635E-2</v>
      </c>
      <c r="L544">
        <f t="shared" si="51"/>
        <v>0</v>
      </c>
      <c r="M544" s="9">
        <f t="shared" si="52"/>
        <v>2.2377710133979153E-2</v>
      </c>
      <c r="N544">
        <f t="shared" si="53"/>
        <v>0</v>
      </c>
      <c r="O544" s="5">
        <f t="shared" si="54"/>
        <v>2.2838149766485554E-2</v>
      </c>
      <c r="P544">
        <f t="shared" si="55"/>
        <v>0</v>
      </c>
    </row>
    <row r="545" spans="1:16" x14ac:dyDescent="0.25">
      <c r="A545" s="2">
        <f>'Historical Prices'!A543</f>
        <v>45910</v>
      </c>
      <c r="B545" s="3">
        <f>'Historical Prices'!C543/'Historical Prices'!C542-1</f>
        <v>7.770767501502629E-4</v>
      </c>
      <c r="C545" s="3">
        <f>'Historical Prices'!B543/'Historical Prices'!B542-1</f>
        <v>1.7012000145361972E-2</v>
      </c>
      <c r="D545" s="3">
        <f>'Historical Prices'!D543/'Historical Prices'!D542-1</f>
        <v>1.4250664541415325E-4</v>
      </c>
      <c r="E545" s="3">
        <f>'Historical Prices'!E543/'Historical Prices'!E542-1</f>
        <v>1.8812688162865854E-2</v>
      </c>
      <c r="F545" s="3">
        <f>'Historical Prices'!F543/'Historical Prices'!F542-1</f>
        <v>-2.4862735057703866E-2</v>
      </c>
      <c r="G545" s="9">
        <f t="shared" si="56"/>
        <v>1.997309631470821E-3</v>
      </c>
      <c r="H545" s="6">
        <f t="shared" si="57"/>
        <v>1997.3096314708209</v>
      </c>
      <c r="I545" s="9">
        <f t="shared" si="48"/>
        <v>1.5594727193304502E-2</v>
      </c>
      <c r="J545">
        <f t="shared" si="49"/>
        <v>0</v>
      </c>
      <c r="K545" s="5">
        <f t="shared" si="50"/>
        <v>1.5946117448087264E-2</v>
      </c>
      <c r="L545">
        <f t="shared" si="51"/>
        <v>0</v>
      </c>
      <c r="M545" s="9">
        <f t="shared" si="52"/>
        <v>2.2377710133979153E-2</v>
      </c>
      <c r="N545">
        <f t="shared" si="53"/>
        <v>0</v>
      </c>
      <c r="O545" s="5">
        <f t="shared" si="54"/>
        <v>2.2728390593282678E-2</v>
      </c>
      <c r="P545">
        <f t="shared" si="55"/>
        <v>0</v>
      </c>
    </row>
    <row r="546" spans="1:16" x14ac:dyDescent="0.25">
      <c r="A546" s="2">
        <f>'Historical Prices'!A544</f>
        <v>45911</v>
      </c>
      <c r="B546" s="3">
        <f>'Historical Prices'!C544/'Historical Prices'!C543-1</f>
        <v>1.9670059198386713E-3</v>
      </c>
      <c r="C546" s="3">
        <f>'Historical Prices'!B544/'Historical Prices'!B543-1</f>
        <v>1.6166784805027978E-2</v>
      </c>
      <c r="D546" s="3">
        <f>'Historical Prices'!D544/'Historical Prices'!D543-1</f>
        <v>-1.638286018223134E-3</v>
      </c>
      <c r="E546" s="3">
        <f>'Historical Prices'!E544/'Historical Prices'!E543-1</f>
        <v>-1.4941959712930331E-2</v>
      </c>
      <c r="F546" s="3">
        <f>'Historical Prices'!F544/'Historical Prices'!F543-1</f>
        <v>-2.4137258145734419E-3</v>
      </c>
      <c r="G546" s="9">
        <f t="shared" si="56"/>
        <v>-1.9971873144068812E-4</v>
      </c>
      <c r="H546" s="6">
        <f t="shared" si="57"/>
        <v>-199.71873144068812</v>
      </c>
      <c r="I546" s="9">
        <f t="shared" si="48"/>
        <v>1.5594727193304502E-2</v>
      </c>
      <c r="J546">
        <f t="shared" si="49"/>
        <v>0</v>
      </c>
      <c r="K546" s="5">
        <f t="shared" si="50"/>
        <v>1.5951506043582551E-2</v>
      </c>
      <c r="L546">
        <f t="shared" si="51"/>
        <v>0</v>
      </c>
      <c r="M546" s="9">
        <f t="shared" si="52"/>
        <v>2.2377710133979153E-2</v>
      </c>
      <c r="N546">
        <f t="shared" si="53"/>
        <v>0</v>
      </c>
      <c r="O546" s="5">
        <f t="shared" si="54"/>
        <v>2.2725579799554228E-2</v>
      </c>
      <c r="P546">
        <f t="shared" si="55"/>
        <v>0</v>
      </c>
    </row>
    <row r="547" spans="1:16" x14ac:dyDescent="0.25">
      <c r="A547" s="2">
        <f>'Historical Prices'!A545</f>
        <v>45912</v>
      </c>
      <c r="B547" s="3">
        <f>'Historical Prices'!C545/'Historical Prices'!C544-1</f>
        <v>-5.1658995496028925E-4</v>
      </c>
      <c r="C547" s="3">
        <f>'Historical Prices'!B545/'Historical Prices'!B544-1</f>
        <v>1.6461306649638185E-2</v>
      </c>
      <c r="D547" s="3">
        <f>'Historical Prices'!D545/'Historical Prices'!D544-1</f>
        <v>1.1486820825514554E-2</v>
      </c>
      <c r="E547" s="3">
        <f>'Historical Prices'!E545/'Historical Prices'!E544-1</f>
        <v>1.0531931659025773E-2</v>
      </c>
      <c r="F547" s="3">
        <f>'Historical Prices'!F545/'Historical Prices'!F544-1</f>
        <v>-1.6130439889651127E-3</v>
      </c>
      <c r="G547" s="9">
        <f t="shared" si="56"/>
        <v>7.1721949058687921E-3</v>
      </c>
      <c r="H547" s="6">
        <f t="shared" si="57"/>
        <v>7172.1949058687924</v>
      </c>
      <c r="I547" s="9">
        <f t="shared" si="48"/>
        <v>1.5594727193304502E-2</v>
      </c>
      <c r="J547">
        <f t="shared" si="49"/>
        <v>0</v>
      </c>
      <c r="K547" s="5">
        <f t="shared" si="50"/>
        <v>1.596386401216502E-2</v>
      </c>
      <c r="L547">
        <f t="shared" si="51"/>
        <v>0</v>
      </c>
      <c r="M547" s="9">
        <f t="shared" si="52"/>
        <v>2.2377710133979153E-2</v>
      </c>
      <c r="N547">
        <f t="shared" si="53"/>
        <v>0</v>
      </c>
      <c r="O547" s="5">
        <f t="shared" si="54"/>
        <v>2.2736325636804063E-2</v>
      </c>
      <c r="P547">
        <f t="shared" si="55"/>
        <v>0</v>
      </c>
    </row>
    <row r="548" spans="1:16" x14ac:dyDescent="0.25">
      <c r="A548" s="2">
        <f>'Historical Prices'!A546</f>
        <v>45915</v>
      </c>
      <c r="B548" s="3">
        <f>'Historical Prices'!C546/'Historical Prices'!C545-1</f>
        <v>-2.5849262112609406E-4</v>
      </c>
      <c r="C548" s="3">
        <f>'Historical Prices'!B546/'Historical Prices'!B545-1</f>
        <v>-8.1424548280029097E-4</v>
      </c>
      <c r="D548" s="3">
        <f>'Historical Prices'!D546/'Historical Prices'!D545-1</f>
        <v>1.1992144281529615E-3</v>
      </c>
      <c r="E548" s="3">
        <f>'Historical Prices'!E546/'Historical Prices'!E545-1</f>
        <v>-1.1274218783653533E-2</v>
      </c>
      <c r="F548" s="3">
        <f>'Historical Prices'!F546/'Historical Prices'!F545-1</f>
        <v>-1.6602093349253E-2</v>
      </c>
      <c r="G548" s="9">
        <f t="shared" si="56"/>
        <v>-5.2116495706504007E-3</v>
      </c>
      <c r="H548" s="6">
        <f t="shared" si="57"/>
        <v>-5211.6495706504011</v>
      </c>
      <c r="I548" s="9">
        <f t="shared" si="48"/>
        <v>1.5594727193304502E-2</v>
      </c>
      <c r="J548">
        <f t="shared" si="49"/>
        <v>0</v>
      </c>
      <c r="K548" s="5">
        <f t="shared" si="50"/>
        <v>1.5928360141378588E-2</v>
      </c>
      <c r="L548">
        <f t="shared" si="51"/>
        <v>0</v>
      </c>
      <c r="M548" s="9">
        <f t="shared" si="52"/>
        <v>2.2377710133979153E-2</v>
      </c>
      <c r="N548">
        <f t="shared" si="53"/>
        <v>0</v>
      </c>
      <c r="O548" s="5">
        <f t="shared" si="54"/>
        <v>2.2704528581173035E-2</v>
      </c>
      <c r="P548">
        <f t="shared" si="55"/>
        <v>0</v>
      </c>
    </row>
    <row r="549" spans="1:16" x14ac:dyDescent="0.25">
      <c r="A549" s="2">
        <f>'Historical Prices'!A547</f>
        <v>45916</v>
      </c>
      <c r="B549" s="3">
        <f>'Historical Prices'!C547/'Historical Prices'!C546-1</f>
        <v>-2.0678340679602947E-4</v>
      </c>
      <c r="C549" s="3">
        <f>'Historical Prices'!B547/'Historical Prices'!B546-1</f>
        <v>1.5211819377578983E-2</v>
      </c>
      <c r="D549" s="3">
        <f>'Historical Prices'!D547/'Historical Prices'!D546-1</f>
        <v>1.549887138625694E-3</v>
      </c>
      <c r="E549" s="3">
        <f>'Historical Prices'!E547/'Historical Prices'!E546-1</f>
        <v>1.9226518761930045E-3</v>
      </c>
      <c r="F549" s="3">
        <f>'Historical Prices'!F547/'Historical Prices'!F546-1</f>
        <v>2.2009479634774287E-2</v>
      </c>
      <c r="G549" s="9">
        <f t="shared" si="56"/>
        <v>7.7137430889071008E-3</v>
      </c>
      <c r="H549" s="6">
        <f t="shared" si="57"/>
        <v>7713.7430889071011</v>
      </c>
      <c r="I549" s="9">
        <f t="shared" si="48"/>
        <v>1.5594727193304502E-2</v>
      </c>
      <c r="J549">
        <f t="shared" si="49"/>
        <v>0</v>
      </c>
      <c r="K549" s="5">
        <f t="shared" si="50"/>
        <v>1.5922676153660886E-2</v>
      </c>
      <c r="L549">
        <f t="shared" si="51"/>
        <v>0</v>
      </c>
      <c r="M549" s="9">
        <f t="shared" si="52"/>
        <v>2.2377710133979153E-2</v>
      </c>
      <c r="N549">
        <f t="shared" si="53"/>
        <v>0</v>
      </c>
      <c r="O549" s="5">
        <f t="shared" si="54"/>
        <v>2.265688243355286E-2</v>
      </c>
      <c r="P549">
        <f t="shared" si="55"/>
        <v>0</v>
      </c>
    </row>
    <row r="550" spans="1:16" x14ac:dyDescent="0.25">
      <c r="A550" s="2">
        <f>'Historical Prices'!A548</f>
        <v>45917</v>
      </c>
      <c r="B550" s="3">
        <f>'Historical Prices'!C548/'Historical Prices'!C547-1</f>
        <v>-3.6199393523794754E-4</v>
      </c>
      <c r="C550" s="3">
        <f>'Historical Prices'!B548/'Historical Prices'!B547-1</f>
        <v>4.2812040194417644E-3</v>
      </c>
      <c r="D550" s="3">
        <f>'Historical Prices'!D548/'Historical Prices'!D547-1</f>
        <v>-1.6882009852803304E-3</v>
      </c>
      <c r="E550" s="3">
        <f>'Historical Prices'!E548/'Historical Prices'!E547-1</f>
        <v>7.3446559151491009E-3</v>
      </c>
      <c r="F550" s="3">
        <f>'Historical Prices'!F548/'Historical Prices'!F547-1</f>
        <v>6.9844440800705954E-3</v>
      </c>
      <c r="G550" s="9">
        <f t="shared" si="56"/>
        <v>3.0282434063593159E-3</v>
      </c>
      <c r="H550" s="6">
        <f t="shared" si="57"/>
        <v>3028.2434063593159</v>
      </c>
      <c r="I550" s="9">
        <f t="shared" si="48"/>
        <v>1.5594727193304502E-2</v>
      </c>
      <c r="J550">
        <f t="shared" si="49"/>
        <v>0</v>
      </c>
      <c r="K550" s="5">
        <f t="shared" si="50"/>
        <v>1.5913898106380855E-2</v>
      </c>
      <c r="L550">
        <f t="shared" si="51"/>
        <v>0</v>
      </c>
      <c r="M550" s="9">
        <f t="shared" si="52"/>
        <v>2.2377710133979153E-2</v>
      </c>
      <c r="N550">
        <f t="shared" si="53"/>
        <v>0</v>
      </c>
      <c r="O550" s="5">
        <f t="shared" si="54"/>
        <v>2.2655557554521939E-2</v>
      </c>
      <c r="P550">
        <f t="shared" si="55"/>
        <v>0</v>
      </c>
    </row>
    <row r="551" spans="1:16" x14ac:dyDescent="0.25">
      <c r="A551" s="2">
        <f>'Historical Prices'!A549</f>
        <v>45918</v>
      </c>
      <c r="B551" s="3">
        <f>'Historical Prices'!C549/'Historical Prices'!C548-1</f>
        <v>1.0760524816156192E-2</v>
      </c>
      <c r="C551" s="3">
        <f>'Historical Prices'!B549/'Historical Prices'!B548-1</f>
        <v>6.216608202768148E-3</v>
      </c>
      <c r="D551" s="3">
        <f>'Historical Prices'!D549/'Historical Prices'!D548-1</f>
        <v>1.7614875740010749E-3</v>
      </c>
      <c r="E551" s="3">
        <f>'Historical Prices'!E549/'Historical Prices'!E548-1</f>
        <v>1.1954724501134883E-2</v>
      </c>
      <c r="F551" s="3">
        <f>'Historical Prices'!F549/'Historical Prices'!F548-1</f>
        <v>2.4771622494081935E-3</v>
      </c>
      <c r="G551" s="9">
        <f t="shared" si="56"/>
        <v>6.4925160419361449E-3</v>
      </c>
      <c r="H551" s="6">
        <f t="shared" si="57"/>
        <v>6492.5160419361446</v>
      </c>
      <c r="I551" s="9">
        <f t="shared" si="48"/>
        <v>1.5594727193304502E-2</v>
      </c>
      <c r="J551">
        <f t="shared" si="49"/>
        <v>0</v>
      </c>
      <c r="K551" s="5">
        <f t="shared" si="50"/>
        <v>1.5917472476036931E-2</v>
      </c>
      <c r="L551">
        <f t="shared" si="51"/>
        <v>0</v>
      </c>
      <c r="M551" s="9">
        <f t="shared" si="52"/>
        <v>2.2377710133979153E-2</v>
      </c>
      <c r="N551">
        <f t="shared" si="53"/>
        <v>0</v>
      </c>
      <c r="O551" s="5">
        <f t="shared" si="54"/>
        <v>2.2654292795941354E-2</v>
      </c>
      <c r="P551">
        <f t="shared" si="55"/>
        <v>0</v>
      </c>
    </row>
    <row r="552" spans="1:16" x14ac:dyDescent="0.25">
      <c r="A552" s="2">
        <f>'Historical Prices'!A550</f>
        <v>45919</v>
      </c>
      <c r="B552" s="3">
        <f>'Historical Prices'!C550/'Historical Prices'!C549-1</f>
        <v>-1.0236508275741407E-2</v>
      </c>
      <c r="C552" s="3">
        <f>'Historical Prices'!B550/'Historical Prices'!B549-1</f>
        <v>2.5596311905595748E-3</v>
      </c>
      <c r="D552" s="3">
        <f>'Historical Prices'!D550/'Historical Prices'!D549-1</f>
        <v>-1.3715928375991449E-2</v>
      </c>
      <c r="E552" s="3">
        <f>'Historical Prices'!E550/'Historical Prices'!E549-1</f>
        <v>-2.5963640219095474E-4</v>
      </c>
      <c r="F552" s="3">
        <f>'Historical Prices'!F550/'Historical Prices'!F549-1</f>
        <v>-1.3755355892299481E-2</v>
      </c>
      <c r="G552" s="9">
        <f t="shared" si="56"/>
        <v>-7.5141076795475353E-3</v>
      </c>
      <c r="H552" s="6">
        <f t="shared" si="57"/>
        <v>-7514.1076795475356</v>
      </c>
      <c r="I552" s="9">
        <f t="shared" si="48"/>
        <v>1.5594727193304502E-2</v>
      </c>
      <c r="J552">
        <f t="shared" si="49"/>
        <v>0</v>
      </c>
      <c r="K552" s="5">
        <f t="shared" si="50"/>
        <v>1.5914128162211577E-2</v>
      </c>
      <c r="L552">
        <f t="shared" si="51"/>
        <v>0</v>
      </c>
      <c r="M552" s="9">
        <f t="shared" si="52"/>
        <v>2.2377710133979153E-2</v>
      </c>
      <c r="N552">
        <f t="shared" si="53"/>
        <v>0</v>
      </c>
      <c r="O552" s="5">
        <f t="shared" si="54"/>
        <v>2.2655071233513197E-2</v>
      </c>
      <c r="P552">
        <f t="shared" si="55"/>
        <v>0</v>
      </c>
    </row>
    <row r="553" spans="1:16" x14ac:dyDescent="0.25">
      <c r="A553" s="2">
        <f>'Historical Prices'!A551</f>
        <v>45922</v>
      </c>
      <c r="B553" s="3">
        <f>'Historical Prices'!C551/'Historical Prices'!C550-1</f>
        <v>-2.7924260488683128E-3</v>
      </c>
      <c r="C553" s="3">
        <f>'Historical Prices'!B551/'Historical Prices'!B550-1</f>
        <v>7.4830164628942875E-3</v>
      </c>
      <c r="D553" s="3">
        <f>'Historical Prices'!D551/'Historical Prices'!D550-1</f>
        <v>-4.9917512320474255E-4</v>
      </c>
      <c r="E553" s="3">
        <f>'Historical Prices'!E551/'Historical Prices'!E550-1</f>
        <v>-2.6425173070118602E-2</v>
      </c>
      <c r="F553" s="3">
        <f>'Historical Prices'!F551/'Historical Prices'!F550-1</f>
        <v>-2.0323018622440125E-3</v>
      </c>
      <c r="G553" s="9">
        <f t="shared" si="56"/>
        <v>-4.5832693692740506E-3</v>
      </c>
      <c r="H553" s="6">
        <f t="shared" si="57"/>
        <v>-4583.2693692740504</v>
      </c>
      <c r="I553" s="9">
        <f t="shared" si="48"/>
        <v>1.5594727193304502E-2</v>
      </c>
      <c r="J553">
        <f t="shared" si="49"/>
        <v>0</v>
      </c>
      <c r="K553" s="5">
        <f t="shared" si="50"/>
        <v>1.5976080734137629E-2</v>
      </c>
      <c r="L553">
        <f t="shared" si="51"/>
        <v>0</v>
      </c>
      <c r="M553" s="9">
        <f t="shared" si="52"/>
        <v>2.2377710133979153E-2</v>
      </c>
      <c r="N553">
        <f t="shared" si="53"/>
        <v>0</v>
      </c>
      <c r="O553" s="5">
        <f t="shared" si="54"/>
        <v>2.2723784461704106E-2</v>
      </c>
      <c r="P553">
        <f t="shared" si="55"/>
        <v>0</v>
      </c>
    </row>
    <row r="554" spans="1:16" x14ac:dyDescent="0.25">
      <c r="A554" s="2">
        <f>'Historical Prices'!A552</f>
        <v>45923</v>
      </c>
      <c r="B554" s="3">
        <f>'Historical Prices'!C552/'Historical Prices'!C551-1</f>
        <v>-7.2599053449188267E-3</v>
      </c>
      <c r="C554" s="3">
        <f>'Historical Prices'!B552/'Historical Prices'!B551-1</f>
        <v>2.306894968882478E-2</v>
      </c>
      <c r="D554" s="3">
        <f>'Historical Prices'!D552/'Historical Prices'!D551-1</f>
        <v>-5.1373259063204335E-3</v>
      </c>
      <c r="E554" s="3">
        <f>'Historical Prices'!E552/'Historical Prices'!E551-1</f>
        <v>-1.3337641009985024E-3</v>
      </c>
      <c r="F554" s="3">
        <f>'Historical Prices'!F552/'Historical Prices'!F551-1</f>
        <v>8.3129248835538405E-3</v>
      </c>
      <c r="G554" s="9">
        <f t="shared" si="56"/>
        <v>2.9080266924574848E-3</v>
      </c>
      <c r="H554" s="6">
        <f t="shared" si="57"/>
        <v>2908.0266924574848</v>
      </c>
      <c r="I554" s="9">
        <f t="shared" si="48"/>
        <v>1.5594727193304502E-2</v>
      </c>
      <c r="J554">
        <f t="shared" si="49"/>
        <v>0</v>
      </c>
      <c r="K554" s="5">
        <f t="shared" si="50"/>
        <v>1.6009800544534211E-2</v>
      </c>
      <c r="L554">
        <f t="shared" si="51"/>
        <v>0</v>
      </c>
      <c r="M554" s="9">
        <f t="shared" si="52"/>
        <v>2.2377710133979153E-2</v>
      </c>
      <c r="N554">
        <f t="shared" si="53"/>
        <v>0</v>
      </c>
      <c r="O554" s="5">
        <f t="shared" si="54"/>
        <v>2.2760322202251514E-2</v>
      </c>
      <c r="P554">
        <f t="shared" si="55"/>
        <v>0</v>
      </c>
    </row>
    <row r="555" spans="1:16" x14ac:dyDescent="0.25">
      <c r="A555" s="2">
        <f>'Historical Prices'!A553</f>
        <v>45924</v>
      </c>
      <c r="B555" s="3">
        <f>'Historical Prices'!C553/'Historical Prices'!C552-1</f>
        <v>-6.4249781933043426E-3</v>
      </c>
      <c r="C555" s="3">
        <f>'Historical Prices'!B553/'Historical Prices'!B552-1</f>
        <v>-1.0164023613591366E-2</v>
      </c>
      <c r="D555" s="3">
        <f>'Historical Prices'!D553/'Historical Prices'!D552-1</f>
        <v>-8.3196951040185319E-3</v>
      </c>
      <c r="E555" s="3">
        <f>'Historical Prices'!E553/'Historical Prices'!E552-1</f>
        <v>-1.9365619738300754E-3</v>
      </c>
      <c r="F555" s="3">
        <f>'Historical Prices'!F553/'Historical Prices'!F552-1</f>
        <v>-1.0983283053063619E-2</v>
      </c>
      <c r="G555" s="9">
        <f t="shared" si="56"/>
        <v>-7.5987374898862804E-3</v>
      </c>
      <c r="H555" s="6">
        <f t="shared" si="57"/>
        <v>-7598.7374898862799</v>
      </c>
      <c r="I555" s="9">
        <f t="shared" si="48"/>
        <v>1.5594727193304502E-2</v>
      </c>
      <c r="J555">
        <f t="shared" si="49"/>
        <v>0</v>
      </c>
      <c r="K555" s="5">
        <f t="shared" si="50"/>
        <v>1.5903939769029509E-2</v>
      </c>
      <c r="L555">
        <f t="shared" si="51"/>
        <v>0</v>
      </c>
      <c r="M555" s="9">
        <f t="shared" si="52"/>
        <v>2.2377710133979153E-2</v>
      </c>
      <c r="N555">
        <f t="shared" si="53"/>
        <v>0</v>
      </c>
      <c r="O555" s="5">
        <f t="shared" si="54"/>
        <v>2.2575195520807136E-2</v>
      </c>
      <c r="P555">
        <f t="shared" si="55"/>
        <v>0</v>
      </c>
    </row>
    <row r="556" spans="1:16" x14ac:dyDescent="0.25">
      <c r="A556" s="2">
        <f>'Historical Prices'!A554</f>
        <v>45925</v>
      </c>
      <c r="B556" s="3">
        <f>'Historical Prices'!C554/'Historical Prices'!C553-1</f>
        <v>-1.2618342628776258E-3</v>
      </c>
      <c r="C556" s="3">
        <f>'Historical Prices'!B554/'Historical Prices'!B553-1</f>
        <v>6.6441480971748401E-3</v>
      </c>
      <c r="D556" s="3">
        <f>'Historical Prices'!D554/'Historical Prices'!D553-1</f>
        <v>-4.9901254257448402E-3</v>
      </c>
      <c r="E556" s="3">
        <f>'Historical Prices'!E554/'Historical Prices'!E553-1</f>
        <v>-6.556912622336375E-3</v>
      </c>
      <c r="F556" s="3">
        <f>'Historical Prices'!F554/'Historical Prices'!F553-1</f>
        <v>-1.2559782651076934E-2</v>
      </c>
      <c r="G556" s="9">
        <f t="shared" si="56"/>
        <v>-3.8114961116711725E-3</v>
      </c>
      <c r="H556" s="6">
        <f t="shared" si="57"/>
        <v>-3811.4961116711725</v>
      </c>
      <c r="I556" s="9">
        <f t="shared" si="48"/>
        <v>1.5594727193304502E-2</v>
      </c>
      <c r="J556">
        <f t="shared" si="49"/>
        <v>0</v>
      </c>
      <c r="K556" s="5">
        <f t="shared" si="50"/>
        <v>1.5967014602323207E-2</v>
      </c>
      <c r="L556">
        <f t="shared" si="51"/>
        <v>0</v>
      </c>
      <c r="M556" s="9">
        <f t="shared" si="52"/>
        <v>2.2377710133979153E-2</v>
      </c>
      <c r="N556">
        <f t="shared" si="53"/>
        <v>0</v>
      </c>
      <c r="O556" s="5">
        <f t="shared" si="54"/>
        <v>2.264308072351346E-2</v>
      </c>
      <c r="P556">
        <f t="shared" si="55"/>
        <v>0</v>
      </c>
    </row>
    <row r="557" spans="1:16" x14ac:dyDescent="0.25">
      <c r="A557" s="2">
        <f>'Historical Prices'!A555</f>
        <v>45926</v>
      </c>
      <c r="B557" s="3">
        <f>'Historical Prices'!C555/'Historical Prices'!C554-1</f>
        <v>-5.0533873986495781E-3</v>
      </c>
      <c r="C557" s="3">
        <f>'Historical Prices'!B555/'Historical Prices'!B554-1</f>
        <v>-1.0800548975633983E-2</v>
      </c>
      <c r="D557" s="3">
        <f>'Historical Prices'!D555/'Historical Prices'!D554-1</f>
        <v>-1.1775061800240016E-2</v>
      </c>
      <c r="E557" s="3">
        <f>'Historical Prices'!E555/'Historical Prices'!E554-1</f>
        <v>-2.4178323482282771E-2</v>
      </c>
      <c r="F557" s="3">
        <f>'Historical Prices'!F555/'Historical Prices'!F554-1</f>
        <v>-3.7818676828188402E-2</v>
      </c>
      <c r="G557" s="9">
        <f t="shared" si="56"/>
        <v>-1.7491229089563395E-2</v>
      </c>
      <c r="H557" s="6">
        <f t="shared" si="57"/>
        <v>-17491.229089563396</v>
      </c>
      <c r="I557" s="9">
        <f t="shared" si="48"/>
        <v>1.5594727193304502E-2</v>
      </c>
      <c r="J557">
        <f t="shared" si="49"/>
        <v>1</v>
      </c>
      <c r="K557" s="5">
        <f t="shared" si="50"/>
        <v>1.5991620885281506E-2</v>
      </c>
      <c r="L557">
        <f t="shared" si="51"/>
        <v>1</v>
      </c>
      <c r="M557" s="9">
        <f t="shared" si="52"/>
        <v>2.2377710133979153E-2</v>
      </c>
      <c r="N557">
        <f t="shared" si="53"/>
        <v>0</v>
      </c>
      <c r="O557" s="5">
        <f t="shared" si="54"/>
        <v>2.266973283584648E-2</v>
      </c>
      <c r="P557">
        <f t="shared" si="55"/>
        <v>0</v>
      </c>
    </row>
    <row r="558" spans="1:16" x14ac:dyDescent="0.25">
      <c r="A558" s="2">
        <f>'Historical Prices'!A556</f>
        <v>45929</v>
      </c>
      <c r="B558" s="3">
        <f>'Historical Prices'!C556/'Historical Prices'!C555-1</f>
        <v>5.5552294827903026E-3</v>
      </c>
      <c r="C558" s="3">
        <f>'Historical Prices'!B556/'Historical Prices'!B555-1</f>
        <v>-1.889092249300639E-2</v>
      </c>
      <c r="D558" s="3">
        <f>'Historical Prices'!D556/'Historical Prices'!D555-1</f>
        <v>-8.4583326165510453E-3</v>
      </c>
      <c r="E558" s="3">
        <f>'Historical Prices'!E556/'Historical Prices'!E555-1</f>
        <v>-4.9002836454380416E-3</v>
      </c>
      <c r="F558" s="3">
        <f>'Historical Prices'!F556/'Historical Prices'!F555-1</f>
        <v>6.3594766945451742E-3</v>
      </c>
      <c r="G558" s="9">
        <f t="shared" si="56"/>
        <v>-3.9148945795675367E-3</v>
      </c>
      <c r="H558" s="6">
        <f t="shared" si="57"/>
        <v>-3914.8945795675368</v>
      </c>
      <c r="I558" s="9">
        <f t="shared" si="48"/>
        <v>1.6782212864835208E-2</v>
      </c>
      <c r="J558">
        <f t="shared" si="49"/>
        <v>0</v>
      </c>
      <c r="K558" s="5">
        <f t="shared" si="50"/>
        <v>1.6177088484862438E-2</v>
      </c>
      <c r="L558">
        <f t="shared" si="51"/>
        <v>0</v>
      </c>
      <c r="M558" s="9">
        <f t="shared" si="52"/>
        <v>2.2377710133979153E-2</v>
      </c>
      <c r="N558">
        <f t="shared" si="53"/>
        <v>0</v>
      </c>
      <c r="O558" s="5">
        <f t="shared" si="54"/>
        <v>2.2891126583764472E-2</v>
      </c>
      <c r="P558">
        <f t="shared" si="55"/>
        <v>0</v>
      </c>
    </row>
    <row r="559" spans="1:16" x14ac:dyDescent="0.25">
      <c r="A559" s="2">
        <f>'Historical Prices'!A557</f>
        <v>45930</v>
      </c>
      <c r="B559" s="3">
        <f>'Historical Prices'!C557/'Historical Prices'!C556-1</f>
        <v>7.36661837417385E-4</v>
      </c>
      <c r="C559" s="3">
        <f>'Historical Prices'!B557/'Historical Prices'!B556-1</f>
        <v>-5.2989727696850508E-4</v>
      </c>
      <c r="D559" s="3">
        <f>'Historical Prices'!D557/'Historical Prices'!D556-1</f>
        <v>-7.4146380661277433E-5</v>
      </c>
      <c r="E559" s="3">
        <f>'Historical Prices'!E557/'Historical Prices'!E556-1</f>
        <v>0</v>
      </c>
      <c r="F559" s="3">
        <f>'Historical Prices'!F557/'Historical Prices'!F556-1</f>
        <v>2.6037458285033122E-3</v>
      </c>
      <c r="G559" s="9">
        <f t="shared" si="56"/>
        <v>5.4304073343472187E-4</v>
      </c>
      <c r="H559" s="6">
        <f t="shared" si="57"/>
        <v>543.04073343472191</v>
      </c>
      <c r="I559" s="9">
        <f t="shared" si="48"/>
        <v>1.6782212864835208E-2</v>
      </c>
      <c r="J559">
        <f t="shared" si="49"/>
        <v>0</v>
      </c>
      <c r="K559" s="5">
        <f t="shared" si="50"/>
        <v>1.6207090970438279E-2</v>
      </c>
      <c r="L559">
        <f t="shared" si="51"/>
        <v>0</v>
      </c>
      <c r="M559" s="9">
        <f t="shared" si="52"/>
        <v>2.2377710133979153E-2</v>
      </c>
      <c r="N559">
        <f t="shared" si="53"/>
        <v>0</v>
      </c>
      <c r="O559" s="5">
        <f t="shared" si="54"/>
        <v>2.2912452485406739E-2</v>
      </c>
      <c r="P559">
        <f t="shared" si="55"/>
        <v>0</v>
      </c>
    </row>
    <row r="560" spans="1:16" x14ac:dyDescent="0.25">
      <c r="A560" s="2">
        <f>'Historical Prices'!A558</f>
        <v>45931</v>
      </c>
      <c r="B560" s="3">
        <f>'Historical Prices'!C558/'Historical Prices'!C557-1</f>
        <v>1.4984205365028425E-2</v>
      </c>
      <c r="C560" s="3">
        <f>'Historical Prices'!B558/'Historical Prices'!B557-1</f>
        <v>2.4655392255770181E-2</v>
      </c>
      <c r="D560" s="3">
        <f>'Historical Prices'!D558/'Historical Prices'!D557-1</f>
        <v>1.7804121785146121E-2</v>
      </c>
      <c r="E560" s="3">
        <f>'Historical Prices'!E558/'Historical Prices'!E557-1</f>
        <v>2.7742810185957811E-3</v>
      </c>
      <c r="F560" s="3">
        <f>'Historical Prices'!F558/'Historical Prices'!F557-1</f>
        <v>1.0621538344584902E-2</v>
      </c>
      <c r="G560" s="9">
        <f t="shared" si="56"/>
        <v>1.4317763837868725E-2</v>
      </c>
      <c r="H560" s="6">
        <f t="shared" si="57"/>
        <v>14317.763837868724</v>
      </c>
      <c r="I560" s="9">
        <f t="shared" si="48"/>
        <v>1.6782212864835208E-2</v>
      </c>
      <c r="J560">
        <f t="shared" si="49"/>
        <v>0</v>
      </c>
      <c r="K560" s="5">
        <f t="shared" si="50"/>
        <v>1.6158195955284765E-2</v>
      </c>
      <c r="L560">
        <f t="shared" si="51"/>
        <v>0</v>
      </c>
      <c r="M560" s="9">
        <f t="shared" si="52"/>
        <v>2.2377710133979153E-2</v>
      </c>
      <c r="N560">
        <f t="shared" si="53"/>
        <v>0</v>
      </c>
      <c r="O560" s="5">
        <f t="shared" si="54"/>
        <v>2.2856253099741257E-2</v>
      </c>
      <c r="P560">
        <f t="shared" si="55"/>
        <v>0</v>
      </c>
    </row>
    <row r="561" spans="1:16" x14ac:dyDescent="0.25">
      <c r="A561" s="2">
        <f>'Historical Prices'!A559</f>
        <v>45933</v>
      </c>
      <c r="B561" s="3">
        <f>'Historical Prices'!C559/'Historical Prices'!C558-1</f>
        <v>-1.0355236683690094E-4</v>
      </c>
      <c r="C561" s="3">
        <f>'Historical Prices'!B559/'Historical Prices'!B558-1</f>
        <v>1.854244685451012E-2</v>
      </c>
      <c r="D561" s="3">
        <f>'Historical Prices'!D559/'Historical Prices'!D558-1</f>
        <v>-4.9562772723105164E-3</v>
      </c>
      <c r="E561" s="3">
        <f>'Historical Prices'!E559/'Historical Prices'!E558-1</f>
        <v>5.5332113539607874E-4</v>
      </c>
      <c r="F561" s="3">
        <f>'Historical Prices'!F559/'Historical Prices'!F558-1</f>
        <v>-4.0416965751499667E-4</v>
      </c>
      <c r="G561" s="9">
        <f t="shared" si="56"/>
        <v>2.287464293320537E-3</v>
      </c>
      <c r="H561" s="6">
        <f t="shared" si="57"/>
        <v>2287.4642933205369</v>
      </c>
      <c r="I561" s="9">
        <f t="shared" si="48"/>
        <v>1.5594727193304502E-2</v>
      </c>
      <c r="J561">
        <f t="shared" si="49"/>
        <v>0</v>
      </c>
      <c r="K561" s="5">
        <f t="shared" si="50"/>
        <v>1.590435524776454E-2</v>
      </c>
      <c r="L561">
        <f t="shared" si="51"/>
        <v>0</v>
      </c>
      <c r="M561" s="9">
        <f t="shared" si="52"/>
        <v>2.1498287275782593E-2</v>
      </c>
      <c r="N561">
        <f t="shared" si="53"/>
        <v>0</v>
      </c>
      <c r="O561" s="5">
        <f t="shared" si="54"/>
        <v>2.2558512951233251E-2</v>
      </c>
      <c r="P561">
        <f t="shared" si="55"/>
        <v>0</v>
      </c>
    </row>
    <row r="562" spans="1:16" x14ac:dyDescent="0.25">
      <c r="A562" s="2">
        <f>'Historical Prices'!A560</f>
        <v>45936</v>
      </c>
      <c r="B562" s="3">
        <f>'Historical Prices'!C560/'Historical Prices'!C559-1</f>
        <v>8.5996579396601103E-3</v>
      </c>
      <c r="C562" s="3">
        <f>'Historical Prices'!B560/'Historical Prices'!B559-1</f>
        <v>2.6926453891553459E-2</v>
      </c>
      <c r="D562" s="3">
        <f>'Historical Prices'!D560/'Historical Prices'!D559-1</f>
        <v>-1.318458728779226E-3</v>
      </c>
      <c r="E562" s="3">
        <f>'Historical Prices'!E560/'Historical Prices'!E559-1</f>
        <v>2.032352523606451E-2</v>
      </c>
      <c r="F562" s="3">
        <f>'Historical Prices'!F560/'Historical Prices'!F559-1</f>
        <v>2.8884802485003025E-3</v>
      </c>
      <c r="G562" s="9">
        <f t="shared" si="56"/>
        <v>1.0771122725882168E-2</v>
      </c>
      <c r="H562" s="6">
        <f t="shared" si="57"/>
        <v>10771.122725882167</v>
      </c>
      <c r="I562" s="9">
        <f t="shared" si="48"/>
        <v>1.5594727193304502E-2</v>
      </c>
      <c r="J562">
        <f t="shared" si="49"/>
        <v>0</v>
      </c>
      <c r="K562" s="5">
        <f t="shared" si="50"/>
        <v>1.5909164339698516E-2</v>
      </c>
      <c r="L562">
        <f t="shared" si="51"/>
        <v>0</v>
      </c>
      <c r="M562" s="9">
        <f t="shared" si="52"/>
        <v>2.1498287275782593E-2</v>
      </c>
      <c r="N562">
        <f t="shared" si="53"/>
        <v>0</v>
      </c>
      <c r="O562" s="5">
        <f t="shared" si="54"/>
        <v>2.2559267937091662E-2</v>
      </c>
      <c r="P562">
        <f t="shared" si="55"/>
        <v>0</v>
      </c>
    </row>
    <row r="563" spans="1:16" x14ac:dyDescent="0.25">
      <c r="A563" s="2">
        <f>'Historical Prices'!A561</f>
        <v>45937</v>
      </c>
      <c r="B563" s="3">
        <f>'Historical Prices'!C561/'Historical Prices'!C560-1</f>
        <v>9.2968492513054724E-3</v>
      </c>
      <c r="C563" s="3">
        <f>'Historical Prices'!B561/'Historical Prices'!B560-1</f>
        <v>-2.1438006882225968E-2</v>
      </c>
      <c r="D563" s="3">
        <f>'Historical Prices'!D561/'Historical Prices'!D560-1</f>
        <v>9.1682617645996167E-3</v>
      </c>
      <c r="E563" s="3">
        <f>'Historical Prices'!E561/'Historical Prices'!E560-1</f>
        <v>-1.1856395619015192E-2</v>
      </c>
      <c r="F563" s="3">
        <f>'Historical Prices'!F561/'Historical Prices'!F560-1</f>
        <v>5.9907546932647104E-3</v>
      </c>
      <c r="G563" s="9">
        <f t="shared" si="56"/>
        <v>-9.2883036283613468E-4</v>
      </c>
      <c r="H563" s="6">
        <f t="shared" si="57"/>
        <v>-928.83036283613467</v>
      </c>
      <c r="I563" s="9">
        <f t="shared" si="48"/>
        <v>1.4398147002908753E-2</v>
      </c>
      <c r="J563">
        <f t="shared" si="49"/>
        <v>0</v>
      </c>
      <c r="K563" s="5">
        <f t="shared" si="50"/>
        <v>1.5694143080314683E-2</v>
      </c>
      <c r="L563">
        <f t="shared" si="51"/>
        <v>0</v>
      </c>
      <c r="M563" s="9">
        <f t="shared" si="52"/>
        <v>2.1498287275782593E-2</v>
      </c>
      <c r="N563">
        <f t="shared" si="53"/>
        <v>0</v>
      </c>
      <c r="O563" s="5">
        <f t="shared" si="54"/>
        <v>2.2305334897190433E-2</v>
      </c>
      <c r="P563">
        <f t="shared" si="55"/>
        <v>0</v>
      </c>
    </row>
    <row r="564" spans="1:16" x14ac:dyDescent="0.25">
      <c r="A564" s="2">
        <f>'Historical Prices'!A562</f>
        <v>45938</v>
      </c>
      <c r="B564" s="3">
        <f>'Historical Prices'!C562/'Historical Prices'!C561-1</f>
        <v>-3.8676704279507756E-3</v>
      </c>
      <c r="C564" s="3">
        <f>'Historical Prices'!B562/'Historical Prices'!B561-1</f>
        <v>-5.2242079949569309E-3</v>
      </c>
      <c r="D564" s="3">
        <f>'Historical Prices'!D562/'Historical Prices'!D561-1</f>
        <v>-4.0700021400819075E-3</v>
      </c>
      <c r="E564" s="3">
        <f>'Historical Prices'!E562/'Historical Prices'!E561-1</f>
        <v>2.5025734412871481E-2</v>
      </c>
      <c r="F564" s="3">
        <f>'Historical Prices'!F562/'Historical Prices'!F561-1</f>
        <v>-1.8981863746068472E-2</v>
      </c>
      <c r="G564" s="9">
        <f t="shared" si="56"/>
        <v>-1.7580095925460444E-3</v>
      </c>
      <c r="H564" s="6">
        <f t="shared" si="57"/>
        <v>-1758.0095925460444</v>
      </c>
      <c r="I564" s="9">
        <f t="shared" si="48"/>
        <v>1.4398147002908753E-2</v>
      </c>
      <c r="J564">
        <f t="shared" si="49"/>
        <v>0</v>
      </c>
      <c r="K564" s="5">
        <f t="shared" si="50"/>
        <v>1.5620550369548588E-2</v>
      </c>
      <c r="L564">
        <f t="shared" si="51"/>
        <v>0</v>
      </c>
      <c r="M564" s="9">
        <f t="shared" si="52"/>
        <v>2.1498287275782593E-2</v>
      </c>
      <c r="N564">
        <f t="shared" si="53"/>
        <v>0</v>
      </c>
      <c r="O564" s="5">
        <f t="shared" si="54"/>
        <v>2.2216551029495366E-2</v>
      </c>
      <c r="P564">
        <f t="shared" si="55"/>
        <v>0</v>
      </c>
    </row>
    <row r="565" spans="1:16" x14ac:dyDescent="0.25">
      <c r="A565" s="2">
        <f>'Historical Prices'!A563</f>
        <v>45939</v>
      </c>
      <c r="B565" s="3">
        <f>'Historical Prices'!C563/'Historical Prices'!C562-1</f>
        <v>-1.6348924815232646E-3</v>
      </c>
      <c r="C565" s="3">
        <f>'Historical Prices'!B563/'Historical Prices'!B562-1</f>
        <v>-1.1180748553759168E-2</v>
      </c>
      <c r="D565" s="3">
        <f>'Historical Prices'!D563/'Historical Prices'!D562-1</f>
        <v>4.3054701759033254E-3</v>
      </c>
      <c r="E565" s="3">
        <f>'Historical Prices'!E563/'Historical Prices'!E562-1</f>
        <v>9.5652663678862382E-3</v>
      </c>
      <c r="F565" s="3">
        <f>'Historical Prices'!F563/'Historical Prices'!F562-1</f>
        <v>4.7862033849883634E-3</v>
      </c>
      <c r="G565" s="9">
        <f t="shared" si="56"/>
        <v>1.2638259086257945E-3</v>
      </c>
      <c r="H565" s="6">
        <f t="shared" si="57"/>
        <v>1263.8259086257945</v>
      </c>
      <c r="I565" s="9">
        <f t="shared" si="48"/>
        <v>1.4398147002908753E-2</v>
      </c>
      <c r="J565">
        <f t="shared" si="49"/>
        <v>0</v>
      </c>
      <c r="K565" s="5">
        <f t="shared" si="50"/>
        <v>1.558312180457228E-2</v>
      </c>
      <c r="L565">
        <f t="shared" si="51"/>
        <v>0</v>
      </c>
      <c r="M565" s="9">
        <f t="shared" si="52"/>
        <v>2.1498287275782593E-2</v>
      </c>
      <c r="N565">
        <f t="shared" si="53"/>
        <v>0</v>
      </c>
      <c r="O565" s="5">
        <f t="shared" si="54"/>
        <v>2.2172242737397201E-2</v>
      </c>
      <c r="P565">
        <f t="shared" si="55"/>
        <v>0</v>
      </c>
    </row>
    <row r="566" spans="1:16" x14ac:dyDescent="0.25">
      <c r="A566" s="2">
        <f>'Historical Prices'!A564</f>
        <v>45940</v>
      </c>
      <c r="B566" s="3">
        <f>'Historical Prices'!C564/'Historical Prices'!C563-1</f>
        <v>3.889109053228923E-3</v>
      </c>
      <c r="C566" s="3">
        <f>'Historical Prices'!B564/'Historical Prices'!B563-1</f>
        <v>1.1135864686068198E-2</v>
      </c>
      <c r="D566" s="3">
        <f>'Historical Prices'!D564/'Historical Prices'!D563-1</f>
        <v>2.9793605842078907E-3</v>
      </c>
      <c r="E566" s="3">
        <f>'Historical Prices'!E564/'Historical Prices'!E563-1</f>
        <v>3.7102906159418581E-3</v>
      </c>
      <c r="F566" s="3">
        <f>'Historical Prices'!F564/'Historical Prices'!F563-1</f>
        <v>3.4854198655103197E-3</v>
      </c>
      <c r="G566" s="9">
        <f t="shared" si="56"/>
        <v>4.9057060600906808E-3</v>
      </c>
      <c r="H566" s="6">
        <f t="shared" si="57"/>
        <v>4905.7060600906807</v>
      </c>
      <c r="I566" s="9">
        <f t="shared" si="48"/>
        <v>1.4398147002908753E-2</v>
      </c>
      <c r="J566">
        <f t="shared" si="49"/>
        <v>0</v>
      </c>
      <c r="K566" s="5">
        <f t="shared" si="50"/>
        <v>1.5569726425155873E-2</v>
      </c>
      <c r="L566">
        <f t="shared" si="51"/>
        <v>0</v>
      </c>
      <c r="M566" s="9">
        <f t="shared" si="52"/>
        <v>2.1498287275782593E-2</v>
      </c>
      <c r="N566">
        <f t="shared" si="53"/>
        <v>0</v>
      </c>
      <c r="O566" s="5">
        <f t="shared" si="54"/>
        <v>2.2132078193124273E-2</v>
      </c>
      <c r="P566">
        <f t="shared" si="55"/>
        <v>0</v>
      </c>
    </row>
    <row r="567" spans="1:16" x14ac:dyDescent="0.25">
      <c r="A567" s="2">
        <f>'Historical Prices'!A565</f>
        <v>45943</v>
      </c>
      <c r="B567" s="3">
        <f>'Historical Prices'!C565/'Historical Prices'!C564-1</f>
        <v>-3.9759426940012554E-3</v>
      </c>
      <c r="C567" s="3">
        <f>'Historical Prices'!B565/'Historical Prices'!B564-1</f>
        <v>7.7939349342839304E-3</v>
      </c>
      <c r="D567" s="3">
        <f>'Historical Prices'!D565/'Historical Prices'!D564-1</f>
        <v>-6.5210675429916432E-4</v>
      </c>
      <c r="E567" s="3">
        <f>'Historical Prices'!E565/'Historical Prices'!E564-1</f>
        <v>-1.4324417147475899E-2</v>
      </c>
      <c r="F567" s="3">
        <f>'Historical Prices'!F565/'Historical Prices'!F564-1</f>
        <v>1.3892970004365512E-3</v>
      </c>
      <c r="G567" s="9">
        <f t="shared" si="56"/>
        <v>-1.9206402871511899E-3</v>
      </c>
      <c r="H567" s="6">
        <f t="shared" si="57"/>
        <v>-1920.64028715119</v>
      </c>
      <c r="I567" s="9">
        <f t="shared" si="48"/>
        <v>1.4398147002908753E-2</v>
      </c>
      <c r="J567">
        <f t="shared" si="49"/>
        <v>0</v>
      </c>
      <c r="K567" s="5">
        <f t="shared" si="50"/>
        <v>1.5562669196935178E-2</v>
      </c>
      <c r="L567">
        <f t="shared" si="51"/>
        <v>0</v>
      </c>
      <c r="M567" s="9">
        <f t="shared" si="52"/>
        <v>2.1498287275782593E-2</v>
      </c>
      <c r="N567">
        <f t="shared" si="53"/>
        <v>0</v>
      </c>
      <c r="O567" s="5">
        <f t="shared" si="54"/>
        <v>2.2127881885558871E-2</v>
      </c>
      <c r="P567">
        <f t="shared" si="55"/>
        <v>0</v>
      </c>
    </row>
    <row r="568" spans="1:16" x14ac:dyDescent="0.25">
      <c r="A568" s="2">
        <f>'Historical Prices'!A566</f>
        <v>45944</v>
      </c>
      <c r="B568" s="3">
        <f>'Historical Prices'!C566/'Historical Prices'!C565-1</f>
        <v>1.5355572961639474E-4</v>
      </c>
      <c r="C568" s="3">
        <f>'Historical Prices'!B566/'Historical Prices'!B565-1</f>
        <v>-1.0759838084852369E-2</v>
      </c>
      <c r="D568" s="3">
        <f>'Historical Prices'!D566/'Historical Prices'!D565-1</f>
        <v>3.4072322565121826E-3</v>
      </c>
      <c r="E568" s="3">
        <f>'Historical Prices'!E566/'Historical Prices'!E565-1</f>
        <v>-2.2099322892888962E-3</v>
      </c>
      <c r="F568" s="3">
        <f>'Historical Prices'!F566/'Historical Prices'!F565-1</f>
        <v>2.8951070622618147E-5</v>
      </c>
      <c r="G568" s="9">
        <f t="shared" si="56"/>
        <v>-1.5741655975715682E-3</v>
      </c>
      <c r="H568" s="6">
        <f t="shared" si="57"/>
        <v>-1574.1655975715682</v>
      </c>
      <c r="I568" s="9">
        <f t="shared" si="48"/>
        <v>1.4398147002908753E-2</v>
      </c>
      <c r="J568">
        <f t="shared" si="49"/>
        <v>0</v>
      </c>
      <c r="K568" s="5">
        <f t="shared" si="50"/>
        <v>1.5584466251078299E-2</v>
      </c>
      <c r="L568">
        <f t="shared" si="51"/>
        <v>0</v>
      </c>
      <c r="M568" s="9">
        <f t="shared" si="52"/>
        <v>2.1498287275782593E-2</v>
      </c>
      <c r="N568">
        <f t="shared" si="53"/>
        <v>0</v>
      </c>
      <c r="O568" s="5">
        <f t="shared" si="54"/>
        <v>2.2146883897402686E-2</v>
      </c>
      <c r="P568">
        <f t="shared" si="55"/>
        <v>0</v>
      </c>
    </row>
    <row r="569" spans="1:16" x14ac:dyDescent="0.25">
      <c r="A569" s="2">
        <f>'Historical Prices'!A567</f>
        <v>45945</v>
      </c>
      <c r="B569" s="3">
        <f>'Historical Prices'!C567/'Historical Prices'!C566-1</f>
        <v>1.1257119752032807E-3</v>
      </c>
      <c r="C569" s="3">
        <f>'Historical Prices'!B567/'Historical Prices'!B566-1</f>
        <v>-6.1183959126807075E-3</v>
      </c>
      <c r="D569" s="3">
        <f>'Historical Prices'!D567/'Historical Prices'!D566-1</f>
        <v>1.0331689873028571E-2</v>
      </c>
      <c r="E569" s="3">
        <f>'Historical Prices'!E567/'Historical Prices'!E566-1</f>
        <v>-1.0403337988314054E-2</v>
      </c>
      <c r="F569" s="3">
        <f>'Historical Prices'!F567/'Historical Prices'!F566-1</f>
        <v>1.0809845674582208E-2</v>
      </c>
      <c r="G569" s="9">
        <f t="shared" si="56"/>
        <v>1.6359755879257914E-3</v>
      </c>
      <c r="H569" s="6">
        <f t="shared" si="57"/>
        <v>1635.9755879257914</v>
      </c>
      <c r="I569" s="9">
        <f t="shared" si="48"/>
        <v>1.4398147002908753E-2</v>
      </c>
      <c r="J569">
        <f t="shared" si="49"/>
        <v>0</v>
      </c>
      <c r="K569" s="5">
        <f t="shared" si="50"/>
        <v>1.5525228859841965E-2</v>
      </c>
      <c r="L569">
        <f t="shared" si="51"/>
        <v>0</v>
      </c>
      <c r="M569" s="9">
        <f t="shared" si="52"/>
        <v>2.1498287275782593E-2</v>
      </c>
      <c r="N569">
        <f t="shared" si="53"/>
        <v>0</v>
      </c>
      <c r="O569" s="5">
        <f t="shared" si="54"/>
        <v>2.2075601315325433E-2</v>
      </c>
      <c r="P569">
        <f t="shared" si="55"/>
        <v>0</v>
      </c>
    </row>
    <row r="570" spans="1:16" x14ac:dyDescent="0.25">
      <c r="A570" s="2">
        <f>'Historical Prices'!A568</f>
        <v>45946</v>
      </c>
      <c r="B570" s="3">
        <f>'Historical Prices'!C568/'Historical Prices'!C567-1</f>
        <v>1.6457924155284243E-2</v>
      </c>
      <c r="C570" s="3">
        <f>'Historical Prices'!B568/'Historical Prices'!B567-1</f>
        <v>2.2828439460750527E-2</v>
      </c>
      <c r="D570" s="3">
        <f>'Historical Prices'!D568/'Historical Prices'!D567-1</f>
        <v>1.3515496539896921E-2</v>
      </c>
      <c r="E570" s="3">
        <f>'Historical Prices'!E568/'Historical Prices'!E567-1</f>
        <v>-1.9669885323125857E-3</v>
      </c>
      <c r="F570" s="3">
        <f>'Historical Prices'!F568/'Historical Prices'!F567-1</f>
        <v>1.8186025135328743E-2</v>
      </c>
      <c r="G570" s="9">
        <f t="shared" si="56"/>
        <v>1.3899790458233079E-2</v>
      </c>
      <c r="H570" s="6">
        <f t="shared" si="57"/>
        <v>13899.790458233079</v>
      </c>
      <c r="I570" s="9">
        <f t="shared" si="48"/>
        <v>1.4398147002908753E-2</v>
      </c>
      <c r="J570">
        <f t="shared" si="49"/>
        <v>0</v>
      </c>
      <c r="K570" s="5">
        <f t="shared" si="50"/>
        <v>1.5529832391780921E-2</v>
      </c>
      <c r="L570">
        <f t="shared" si="51"/>
        <v>0</v>
      </c>
      <c r="M570" s="9">
        <f t="shared" si="52"/>
        <v>2.1498287275782593E-2</v>
      </c>
      <c r="N570">
        <f t="shared" si="53"/>
        <v>0</v>
      </c>
      <c r="O570" s="5">
        <f t="shared" si="54"/>
        <v>2.207053646252034E-2</v>
      </c>
      <c r="P570">
        <f t="shared" si="55"/>
        <v>0</v>
      </c>
    </row>
    <row r="571" spans="1:16" x14ac:dyDescent="0.25">
      <c r="A571" s="2">
        <f>'Historical Prices'!A569</f>
        <v>45947</v>
      </c>
      <c r="B571" s="3">
        <f>'Historical Prices'!C569/'Historical Prices'!C568-1</f>
        <v>8.2465996807885578E-3</v>
      </c>
      <c r="C571" s="3">
        <f>'Historical Prices'!B569/'Historical Prices'!B568-1</f>
        <v>3.2599311843362067E-3</v>
      </c>
      <c r="D571" s="3">
        <f>'Historical Prices'!D569/'Historical Prices'!D568-1</f>
        <v>1.3617368474353686E-2</v>
      </c>
      <c r="E571" s="3">
        <f>'Historical Prices'!E569/'Historical Prices'!E568-1</f>
        <v>-2.0659148741809408E-2</v>
      </c>
      <c r="F571" s="3">
        <f>'Historical Prices'!F569/'Historical Prices'!F568-1</f>
        <v>2.4264168324388269E-2</v>
      </c>
      <c r="G571" s="9">
        <f t="shared" si="56"/>
        <v>6.31928164124321E-3</v>
      </c>
      <c r="H571" s="6">
        <f t="shared" si="57"/>
        <v>6319.2816412432103</v>
      </c>
      <c r="I571" s="9">
        <f t="shared" si="48"/>
        <v>1.4398147002908753E-2</v>
      </c>
      <c r="J571">
        <f t="shared" si="49"/>
        <v>0</v>
      </c>
      <c r="K571" s="5">
        <f t="shared" si="50"/>
        <v>1.5545822685742285E-2</v>
      </c>
      <c r="L571">
        <f t="shared" si="51"/>
        <v>0</v>
      </c>
      <c r="M571" s="9">
        <f t="shared" si="52"/>
        <v>2.1498287275782593E-2</v>
      </c>
      <c r="N571">
        <f t="shared" si="53"/>
        <v>0</v>
      </c>
      <c r="O571" s="5">
        <f t="shared" si="54"/>
        <v>2.2112325885358074E-2</v>
      </c>
      <c r="P571">
        <f t="shared" si="55"/>
        <v>0</v>
      </c>
    </row>
    <row r="572" spans="1:16" x14ac:dyDescent="0.25">
      <c r="A572" s="2">
        <f>'Historical Prices'!A570</f>
        <v>45950</v>
      </c>
      <c r="B572" s="3">
        <f>'Historical Prices'!C570/'Historical Prices'!C569-1</f>
        <v>3.9898441231578374E-4</v>
      </c>
      <c r="C572" s="3">
        <f>'Historical Prices'!B570/'Historical Prices'!B569-1</f>
        <v>2.1496446471720221E-2</v>
      </c>
      <c r="D572" s="3">
        <f>'Historical Prices'!D570/'Historical Prices'!D569-1</f>
        <v>-3.222881172719505E-2</v>
      </c>
      <c r="E572" s="3">
        <f>'Historical Prices'!E570/'Historical Prices'!E569-1</f>
        <v>1.3739492985189727E-2</v>
      </c>
      <c r="F572" s="3">
        <f>'Historical Prices'!F570/'Historical Prices'!F569-1</f>
        <v>-1.3188123660685336E-2</v>
      </c>
      <c r="G572" s="9">
        <f t="shared" si="56"/>
        <v>-3.3206795697496576E-3</v>
      </c>
      <c r="H572" s="6">
        <f t="shared" si="57"/>
        <v>-3320.6795697496577</v>
      </c>
      <c r="I572" s="9">
        <f t="shared" si="48"/>
        <v>1.4398147002908753E-2</v>
      </c>
      <c r="J572">
        <f t="shared" si="49"/>
        <v>0</v>
      </c>
      <c r="K572" s="5">
        <f t="shared" si="50"/>
        <v>1.5462306490922336E-2</v>
      </c>
      <c r="L572">
        <f t="shared" si="51"/>
        <v>0</v>
      </c>
      <c r="M572" s="9">
        <f t="shared" si="52"/>
        <v>2.1498287275782593E-2</v>
      </c>
      <c r="N572">
        <f t="shared" si="53"/>
        <v>0</v>
      </c>
      <c r="O572" s="5">
        <f t="shared" si="54"/>
        <v>2.2020323636839787E-2</v>
      </c>
      <c r="P572">
        <f t="shared" si="55"/>
        <v>0</v>
      </c>
    </row>
    <row r="573" spans="1:16" x14ac:dyDescent="0.25">
      <c r="A573" s="2">
        <f>'Historical Prices'!A571</f>
        <v>45951</v>
      </c>
      <c r="B573" s="3">
        <f>'Historical Prices'!C571/'Historical Prices'!C570-1</f>
        <v>4.7360425532414485E-3</v>
      </c>
      <c r="C573" s="3">
        <f>'Historical Prices'!B571/'Historical Prices'!B570-1</f>
        <v>9.2170394110919762E-3</v>
      </c>
      <c r="D573" s="3">
        <f>'Historical Prices'!D571/'Historical Prices'!D570-1</f>
        <v>-5.9700075871325087E-3</v>
      </c>
      <c r="E573" s="3">
        <f>'Historical Prices'!E571/'Historical Prices'!E570-1</f>
        <v>7.8718427732407115E-3</v>
      </c>
      <c r="F573" s="3">
        <f>'Historical Prices'!F571/'Historical Prices'!F570-1</f>
        <v>6.1403642857822405E-3</v>
      </c>
      <c r="G573" s="9">
        <f t="shared" si="56"/>
        <v>3.9684154751802219E-3</v>
      </c>
      <c r="H573" s="6">
        <f t="shared" si="57"/>
        <v>3968.4154751802221</v>
      </c>
      <c r="I573" s="9">
        <f t="shared" si="48"/>
        <v>1.4398147002908753E-2</v>
      </c>
      <c r="J573">
        <f t="shared" si="49"/>
        <v>0</v>
      </c>
      <c r="K573" s="5">
        <f t="shared" si="50"/>
        <v>1.5394215469297602E-2</v>
      </c>
      <c r="L573">
        <f t="shared" si="51"/>
        <v>0</v>
      </c>
      <c r="M573" s="9">
        <f t="shared" si="52"/>
        <v>2.1498287275782593E-2</v>
      </c>
      <c r="N573">
        <f t="shared" si="53"/>
        <v>0</v>
      </c>
      <c r="O573" s="5">
        <f t="shared" si="54"/>
        <v>2.1936405346845086E-2</v>
      </c>
      <c r="P573">
        <f t="shared" si="55"/>
        <v>0</v>
      </c>
    </row>
    <row r="574" spans="1:16" x14ac:dyDescent="0.25">
      <c r="A574" s="2">
        <f>'Historical Prices'!A572</f>
        <v>45953</v>
      </c>
      <c r="B574" s="3">
        <f>'Historical Prices'!C572/'Historical Prices'!C571-1</f>
        <v>1.0915842847574186E-3</v>
      </c>
      <c r="C574" s="3">
        <f>'Historical Prices'!B572/'Historical Prices'!B571-1</f>
        <v>1.7376518181847711E-2</v>
      </c>
      <c r="D574" s="3">
        <f>'Historical Prices'!D572/'Historical Prices'!D571-1</f>
        <v>-1.3241650683188499E-2</v>
      </c>
      <c r="E574" s="3">
        <f>'Historical Prices'!E572/'Historical Prices'!E571-1</f>
        <v>3.8101028516390967E-2</v>
      </c>
      <c r="F574" s="3">
        <f>'Historical Prices'!F572/'Historical Prices'!F571-1</f>
        <v>6.6281558254965844E-4</v>
      </c>
      <c r="G574" s="9">
        <f t="shared" si="56"/>
        <v>7.5572414785121207E-3</v>
      </c>
      <c r="H574" s="6">
        <f t="shared" si="57"/>
        <v>7557.2414785121209</v>
      </c>
      <c r="I574" s="9">
        <f t="shared" si="48"/>
        <v>1.4398147002908753E-2</v>
      </c>
      <c r="J574">
        <f t="shared" si="49"/>
        <v>0</v>
      </c>
      <c r="K574" s="5">
        <f t="shared" si="50"/>
        <v>1.5392094826624835E-2</v>
      </c>
      <c r="L574">
        <f t="shared" si="51"/>
        <v>0</v>
      </c>
      <c r="M574" s="9">
        <f t="shared" si="52"/>
        <v>2.1498287275782593E-2</v>
      </c>
      <c r="N574">
        <f t="shared" si="53"/>
        <v>0</v>
      </c>
      <c r="O574" s="5">
        <f t="shared" si="54"/>
        <v>2.1924195100798197E-2</v>
      </c>
      <c r="P574">
        <f t="shared" si="55"/>
        <v>0</v>
      </c>
    </row>
    <row r="575" spans="1:16" x14ac:dyDescent="0.25">
      <c r="A575" s="2">
        <f>'Historical Prices'!A573</f>
        <v>45954</v>
      </c>
      <c r="B575" s="3">
        <f>'Historical Prices'!C573/'Historical Prices'!C572-1</f>
        <v>-1.392744811264468E-2</v>
      </c>
      <c r="C575" s="3">
        <f>'Historical Prices'!B573/'Historical Prices'!B572-1</f>
        <v>-1.3425473617748485E-2</v>
      </c>
      <c r="D575" s="3">
        <f>'Historical Prices'!D573/'Historical Prices'!D572-1</f>
        <v>1.0266168997269398E-2</v>
      </c>
      <c r="E575" s="3">
        <f>'Historical Prices'!E573/'Historical Prices'!E572-1</f>
        <v>-2.0280904023657342E-3</v>
      </c>
      <c r="F575" s="3">
        <f>'Historical Prices'!F573/'Historical Prices'!F572-1</f>
        <v>3.8630121691007879E-4</v>
      </c>
      <c r="G575" s="9">
        <f t="shared" si="56"/>
        <v>-3.3628471791653067E-3</v>
      </c>
      <c r="H575" s="6">
        <f t="shared" si="57"/>
        <v>-3362.8471791653069</v>
      </c>
      <c r="I575" s="9">
        <f t="shared" si="48"/>
        <v>1.4398147002908753E-2</v>
      </c>
      <c r="J575">
        <f t="shared" si="49"/>
        <v>0</v>
      </c>
      <c r="K575" s="5">
        <f t="shared" si="50"/>
        <v>1.5390160985984357E-2</v>
      </c>
      <c r="L575">
        <f t="shared" si="51"/>
        <v>0</v>
      </c>
      <c r="M575" s="9">
        <f t="shared" si="52"/>
        <v>2.1498287275782593E-2</v>
      </c>
      <c r="N575">
        <f t="shared" si="53"/>
        <v>0</v>
      </c>
      <c r="O575" s="5">
        <f t="shared" si="54"/>
        <v>2.1928263196059738E-2</v>
      </c>
      <c r="P575">
        <f t="shared" si="55"/>
        <v>0</v>
      </c>
    </row>
    <row r="576" spans="1:16" x14ac:dyDescent="0.25">
      <c r="A576" s="2">
        <f>'Historical Prices'!A574</f>
        <v>45957</v>
      </c>
      <c r="B576" s="3">
        <f>'Historical Prices'!C574/'Historical Prices'!C573-1</f>
        <v>8.2432836165338141E-3</v>
      </c>
      <c r="C576" s="3">
        <f>'Historical Prices'!B574/'Historical Prices'!B573-1</f>
        <v>9.823619477257628E-3</v>
      </c>
      <c r="D576" s="3">
        <f>'Historical Prices'!D574/'Historical Prices'!D573-1</f>
        <v>-7.2553339660608174E-5</v>
      </c>
      <c r="E576" s="3">
        <f>'Historical Prices'!E574/'Historical Prices'!E573-1</f>
        <v>1.3976956201109392E-3</v>
      </c>
      <c r="F576" s="3">
        <f>'Historical Prices'!F574/'Historical Prices'!F573-1</f>
        <v>-3.6964836752418906E-3</v>
      </c>
      <c r="G576" s="9">
        <f t="shared" si="56"/>
        <v>3.0726087382022286E-3</v>
      </c>
      <c r="H576" s="6">
        <f t="shared" si="57"/>
        <v>3072.6087382022288</v>
      </c>
      <c r="I576" s="9">
        <f t="shared" ref="I576:I639" si="58">-_xlfn.PERCENTILE.INC(G326:G575, 0.05)</f>
        <v>1.4398147002908753E-2</v>
      </c>
      <c r="J576">
        <f t="shared" ref="J576:J639" si="59">--($G576&lt;-I576)</f>
        <v>0</v>
      </c>
      <c r="K576" s="5">
        <f t="shared" ref="K576:K639" si="60">_xlfn.NORM.S.INV(0.95)*_xlfn.STDEV.S($G326:$G575)-AVERAGE($G326:$G575)</f>
        <v>1.5334489246483637E-2</v>
      </c>
      <c r="L576">
        <f t="shared" ref="L576:L639" si="61">--($G576&lt;-K576)</f>
        <v>0</v>
      </c>
      <c r="M576" s="9">
        <f t="shared" ref="M576:M639" si="62">-_xlfn.PERCENTILE.INC(G326:G565, 0.01)</f>
        <v>2.1498287275782593E-2</v>
      </c>
      <c r="N576">
        <f t="shared" ref="N576:N639" si="63">--($G576&lt;-M576)</f>
        <v>0</v>
      </c>
      <c r="O576" s="5">
        <f t="shared" ref="O576:O639" si="64">_xlfn.NORM.S.INV(0.99)*_xlfn.STDEV.S($G326:$G575)-AVERAGE($G326:$G575)</f>
        <v>2.1860033507482252E-2</v>
      </c>
      <c r="P576">
        <f t="shared" ref="P576:P639" si="65">--($G576&lt;-O576)</f>
        <v>0</v>
      </c>
    </row>
    <row r="577" spans="1:16" x14ac:dyDescent="0.25">
      <c r="A577" s="2">
        <f>'Historical Prices'!A575</f>
        <v>45958</v>
      </c>
      <c r="B577" s="3">
        <f>'Historical Prices'!C575/'Historical Prices'!C574-1</f>
        <v>5.9820699978896386E-4</v>
      </c>
      <c r="C577" s="3">
        <f>'Historical Prices'!B575/'Historical Prices'!B574-1</f>
        <v>-6.2195648213900778E-3</v>
      </c>
      <c r="D577" s="3">
        <f>'Historical Prices'!D575/'Historical Prices'!D574-1</f>
        <v>-1.0525554836522066E-2</v>
      </c>
      <c r="E577" s="3">
        <f>'Historical Prices'!E575/'Historical Prices'!E574-1</f>
        <v>-2.8580523068579833E-3</v>
      </c>
      <c r="F577" s="3">
        <f>'Historical Prices'!F575/'Historical Prices'!F574-1</f>
        <v>-8.9988106735948703E-3</v>
      </c>
      <c r="G577" s="9">
        <f t="shared" si="56"/>
        <v>-5.6834320374292546E-3</v>
      </c>
      <c r="H577" s="6">
        <f t="shared" si="57"/>
        <v>-5683.4320374292547</v>
      </c>
      <c r="I577" s="9">
        <f t="shared" si="58"/>
        <v>1.4398147002908753E-2</v>
      </c>
      <c r="J577">
        <f t="shared" si="59"/>
        <v>0</v>
      </c>
      <c r="K577" s="5">
        <f t="shared" si="60"/>
        <v>1.5279774802529343E-2</v>
      </c>
      <c r="L577">
        <f t="shared" si="61"/>
        <v>0</v>
      </c>
      <c r="M577" s="9">
        <f t="shared" si="62"/>
        <v>2.1498287275782593E-2</v>
      </c>
      <c r="N577">
        <f t="shared" si="63"/>
        <v>0</v>
      </c>
      <c r="O577" s="5">
        <f t="shared" si="64"/>
        <v>2.1798930003421032E-2</v>
      </c>
      <c r="P577">
        <f t="shared" si="65"/>
        <v>0</v>
      </c>
    </row>
    <row r="578" spans="1:16" x14ac:dyDescent="0.25">
      <c r="A578" s="2">
        <f>'Historical Prices'!A576</f>
        <v>45959</v>
      </c>
      <c r="B578" s="3">
        <f>'Historical Prices'!C576/'Historical Prices'!C575-1</f>
        <v>4.2847931790519489E-3</v>
      </c>
      <c r="C578" s="3">
        <f>'Historical Prices'!B576/'Historical Prices'!B575-1</f>
        <v>2.0059161981065277E-3</v>
      </c>
      <c r="D578" s="3">
        <f>'Historical Prices'!D576/'Historical Prices'!D575-1</f>
        <v>5.3554706997442914E-3</v>
      </c>
      <c r="E578" s="3">
        <f>'Historical Prices'!E576/'Historical Prices'!E575-1</f>
        <v>6.7991312235067269E-3</v>
      </c>
      <c r="F578" s="3">
        <f>'Historical Prices'!F576/'Historical Prices'!F575-1</f>
        <v>-1.2405392964618178E-2</v>
      </c>
      <c r="G578" s="9">
        <f t="shared" si="56"/>
        <v>1.351444080025235E-3</v>
      </c>
      <c r="H578" s="6">
        <f t="shared" si="57"/>
        <v>1351.4440800252351</v>
      </c>
      <c r="I578" s="9">
        <f t="shared" si="58"/>
        <v>1.4398147002908753E-2</v>
      </c>
      <c r="J578">
        <f t="shared" si="59"/>
        <v>0</v>
      </c>
      <c r="K578" s="5">
        <f t="shared" si="60"/>
        <v>1.5327438775914668E-2</v>
      </c>
      <c r="L578">
        <f t="shared" si="61"/>
        <v>0</v>
      </c>
      <c r="M578" s="9">
        <f t="shared" si="62"/>
        <v>2.1498287275782593E-2</v>
      </c>
      <c r="N578">
        <f t="shared" si="63"/>
        <v>0</v>
      </c>
      <c r="O578" s="5">
        <f t="shared" si="64"/>
        <v>2.1849840137844957E-2</v>
      </c>
      <c r="P578">
        <f t="shared" si="65"/>
        <v>0</v>
      </c>
    </row>
    <row r="579" spans="1:16" x14ac:dyDescent="0.25">
      <c r="A579" s="2">
        <f>'Historical Prices'!A577</f>
        <v>45960</v>
      </c>
      <c r="B579" s="3">
        <f>'Historical Prices'!C577/'Historical Prices'!C576-1</f>
        <v>-9.6243844168917292E-3</v>
      </c>
      <c r="C579" s="3">
        <f>'Historical Prices'!B577/'Historical Prices'!B576-1</f>
        <v>-8.1678403441265424E-3</v>
      </c>
      <c r="D579" s="3">
        <f>'Historical Prices'!D577/'Historical Prices'!D576-1</f>
        <v>-5.8377008146892617E-3</v>
      </c>
      <c r="E579" s="3">
        <f>'Historical Prices'!E577/'Historical Prices'!E576-1</f>
        <v>-1.0990478172126394E-2</v>
      </c>
      <c r="F579" s="3">
        <f>'Historical Prices'!F577/'Historical Prices'!F576-1</f>
        <v>-9.2227842505294699E-3</v>
      </c>
      <c r="G579" s="9">
        <f t="shared" si="56"/>
        <v>-8.666591136318267E-3</v>
      </c>
      <c r="H579" s="6">
        <f t="shared" si="57"/>
        <v>-8666.5911363182677</v>
      </c>
      <c r="I579" s="9">
        <f t="shared" si="58"/>
        <v>1.4398147002908753E-2</v>
      </c>
      <c r="J579">
        <f t="shared" si="59"/>
        <v>0</v>
      </c>
      <c r="K579" s="5">
        <f t="shared" si="60"/>
        <v>1.5298709074325196E-2</v>
      </c>
      <c r="L579">
        <f t="shared" si="61"/>
        <v>0</v>
      </c>
      <c r="M579" s="9">
        <f t="shared" si="62"/>
        <v>2.1498287275782593E-2</v>
      </c>
      <c r="N579">
        <f t="shared" si="63"/>
        <v>0</v>
      </c>
      <c r="O579" s="5">
        <f t="shared" si="64"/>
        <v>2.1818276291431592E-2</v>
      </c>
      <c r="P579">
        <f t="shared" si="65"/>
        <v>0</v>
      </c>
    </row>
    <row r="580" spans="1:16" x14ac:dyDescent="0.25">
      <c r="A580" s="2">
        <f>'Historical Prices'!A578</f>
        <v>45961</v>
      </c>
      <c r="B580" s="3">
        <f>'Historical Prices'!C578/'Historical Prices'!C577-1</f>
        <v>-1.0870166544315829E-2</v>
      </c>
      <c r="C580" s="3">
        <f>'Historical Prices'!B578/'Historical Prices'!B577-1</f>
        <v>-4.6827077624234104E-3</v>
      </c>
      <c r="D580" s="3">
        <f>'Historical Prices'!D578/'Historical Prices'!D577-1</f>
        <v>-1.2551370109013971E-2</v>
      </c>
      <c r="E580" s="3">
        <f>'Historical Prices'!E578/'Historical Prices'!E577-1</f>
        <v>-7.698438797820617E-3</v>
      </c>
      <c r="F580" s="3">
        <f>'Historical Prices'!F578/'Historical Prices'!F577-1</f>
        <v>-4.2546497742105283E-3</v>
      </c>
      <c r="G580" s="9">
        <f t="shared" si="56"/>
        <v>-8.2528595850499958E-3</v>
      </c>
      <c r="H580" s="6">
        <f t="shared" si="57"/>
        <v>-8252.8595850499951</v>
      </c>
      <c r="I580" s="9">
        <f t="shared" si="58"/>
        <v>1.4398147002908753E-2</v>
      </c>
      <c r="J580">
        <f t="shared" si="59"/>
        <v>0</v>
      </c>
      <c r="K580" s="5">
        <f t="shared" si="60"/>
        <v>1.5374374536267377E-2</v>
      </c>
      <c r="L580">
        <f t="shared" si="61"/>
        <v>0</v>
      </c>
      <c r="M580" s="9">
        <f t="shared" si="62"/>
        <v>2.1498287275782593E-2</v>
      </c>
      <c r="N580">
        <f t="shared" si="63"/>
        <v>0</v>
      </c>
      <c r="O580" s="5">
        <f t="shared" si="64"/>
        <v>2.1898454433933928E-2</v>
      </c>
      <c r="P580">
        <f t="shared" si="65"/>
        <v>0</v>
      </c>
    </row>
    <row r="581" spans="1:16" x14ac:dyDescent="0.25">
      <c r="A581" s="2">
        <f>'Historical Prices'!A579</f>
        <v>45964</v>
      </c>
      <c r="B581" s="3">
        <f>'Historical Prices'!C579/'Historical Prices'!C578-1</f>
        <v>5.4188673411579291E-3</v>
      </c>
      <c r="C581" s="3">
        <f>'Historical Prices'!B579/'Historical Prices'!B578-1</f>
        <v>7.3003369729285339E-4</v>
      </c>
      <c r="D581" s="3">
        <f>'Historical Prices'!D579/'Historical Prices'!D578-1</f>
        <v>8.1758218027738749E-4</v>
      </c>
      <c r="E581" s="3">
        <f>'Historical Prices'!E579/'Historical Prices'!E578-1</f>
        <v>2.1587102122950785E-3</v>
      </c>
      <c r="F581" s="3">
        <f>'Historical Prices'!F579/'Historical Prices'!F578-1</f>
        <v>1.7693221237213841E-2</v>
      </c>
      <c r="G581" s="9">
        <f t="shared" si="56"/>
        <v>5.2738986157460834E-3</v>
      </c>
      <c r="H581" s="6">
        <f t="shared" si="57"/>
        <v>5273.8986157460831</v>
      </c>
      <c r="I581" s="9">
        <f t="shared" si="58"/>
        <v>1.4398147002908753E-2</v>
      </c>
      <c r="J581">
        <f t="shared" si="59"/>
        <v>0</v>
      </c>
      <c r="K581" s="5">
        <f t="shared" si="60"/>
        <v>1.5443788969879439E-2</v>
      </c>
      <c r="L581">
        <f t="shared" si="61"/>
        <v>0</v>
      </c>
      <c r="M581" s="9">
        <f t="shared" si="62"/>
        <v>2.1498287275782593E-2</v>
      </c>
      <c r="N581">
        <f t="shared" si="63"/>
        <v>0</v>
      </c>
      <c r="O581" s="5">
        <f t="shared" si="64"/>
        <v>2.196878224328206E-2</v>
      </c>
      <c r="P581">
        <f t="shared" si="65"/>
        <v>0</v>
      </c>
    </row>
    <row r="582" spans="1:16" x14ac:dyDescent="0.25">
      <c r="A582" s="2">
        <f>'Historical Prices'!A580</f>
        <v>45965</v>
      </c>
      <c r="B582" s="3">
        <f>'Historical Prices'!C580/'Historical Prices'!C579-1</f>
        <v>-7.4547951979890836E-3</v>
      </c>
      <c r="C582" s="3">
        <f>'Historical Prices'!B580/'Historical Prices'!B579-1</f>
        <v>-5.755107448674579E-3</v>
      </c>
      <c r="D582" s="3">
        <f>'Historical Prices'!D580/'Historical Prices'!D579-1</f>
        <v>-7.0558171428568572E-3</v>
      </c>
      <c r="E582" s="3">
        <f>'Historical Prices'!E580/'Historical Prices'!E579-1</f>
        <v>-1.1847834929373802E-2</v>
      </c>
      <c r="F582" s="3">
        <f>'Historical Prices'!F580/'Historical Prices'!F579-1</f>
        <v>9.1014900216728201E-3</v>
      </c>
      <c r="G582" s="9">
        <f t="shared" ref="G582:G645" si="66">SUMPRODUCT(B582:F582, $B$2:$F$2)</f>
        <v>-4.6648714028792136E-3</v>
      </c>
      <c r="H582" s="6">
        <f t="shared" ref="H582:H645" si="67">G582*1000000</f>
        <v>-4664.8714028792137</v>
      </c>
      <c r="I582" s="9">
        <f t="shared" si="58"/>
        <v>1.402821251406188E-2</v>
      </c>
      <c r="J582">
        <f t="shared" si="59"/>
        <v>0</v>
      </c>
      <c r="K582" s="5">
        <f t="shared" si="60"/>
        <v>1.5297208937417759E-2</v>
      </c>
      <c r="L582">
        <f t="shared" si="61"/>
        <v>0</v>
      </c>
      <c r="M582" s="9">
        <f t="shared" si="62"/>
        <v>2.1498287275782593E-2</v>
      </c>
      <c r="N582">
        <f t="shared" si="63"/>
        <v>0</v>
      </c>
      <c r="O582" s="5">
        <f t="shared" si="64"/>
        <v>2.1794207858898653E-2</v>
      </c>
      <c r="P582">
        <f t="shared" si="65"/>
        <v>0</v>
      </c>
    </row>
    <row r="583" spans="1:16" x14ac:dyDescent="0.25">
      <c r="A583" s="2">
        <f>'Historical Prices'!A581</f>
        <v>45967</v>
      </c>
      <c r="B583" s="3">
        <f>'Historical Prices'!C581/'Historical Prices'!C580-1</f>
        <v>-6.0895376139147306E-4</v>
      </c>
      <c r="C583" s="3">
        <f>'Historical Prices'!B581/'Historical Prices'!B580-1</f>
        <v>1.5490167234641916E-3</v>
      </c>
      <c r="D583" s="3">
        <f>'Historical Prices'!D581/'Historical Prices'!D580-1</f>
        <v>-1.2341985651077247E-2</v>
      </c>
      <c r="E583" s="3">
        <f>'Historical Prices'!E581/'Historical Prices'!E580-1</f>
        <v>-8.1756388561249338E-4</v>
      </c>
      <c r="F583" s="3">
        <f>'Historical Prices'!F581/'Historical Prices'!F580-1</f>
        <v>1.0415499863118072E-2</v>
      </c>
      <c r="G583" s="9">
        <f t="shared" si="66"/>
        <v>-7.9828956682386452E-4</v>
      </c>
      <c r="H583" s="6">
        <f t="shared" si="67"/>
        <v>-798.28956682386456</v>
      </c>
      <c r="I583" s="9">
        <f t="shared" si="58"/>
        <v>1.402821251406188E-2</v>
      </c>
      <c r="J583">
        <f t="shared" si="59"/>
        <v>0</v>
      </c>
      <c r="K583" s="5">
        <f t="shared" si="60"/>
        <v>1.5267024790022472E-2</v>
      </c>
      <c r="L583">
        <f t="shared" si="61"/>
        <v>0</v>
      </c>
      <c r="M583" s="9">
        <f t="shared" si="62"/>
        <v>2.1498287275782593E-2</v>
      </c>
      <c r="N583">
        <f t="shared" si="63"/>
        <v>0</v>
      </c>
      <c r="O583" s="5">
        <f t="shared" si="64"/>
        <v>2.1757263237128965E-2</v>
      </c>
      <c r="P583">
        <f t="shared" si="65"/>
        <v>0</v>
      </c>
    </row>
    <row r="584" spans="1:16" x14ac:dyDescent="0.25">
      <c r="A584" s="2">
        <f>'Historical Prices'!A582</f>
        <v>45968</v>
      </c>
      <c r="B584" s="3">
        <f>'Historical Prices'!C582/'Historical Prices'!C581-1</f>
        <v>-2.3867007140820906E-3</v>
      </c>
      <c r="C584" s="3">
        <f>'Historical Prices'!B582/'Historical Prices'!B581-1</f>
        <v>-4.6397635031258933E-3</v>
      </c>
      <c r="D584" s="3">
        <f>'Historical Prices'!D582/'Historical Prices'!D581-1</f>
        <v>1.7115984848068422E-2</v>
      </c>
      <c r="E584" s="3">
        <f>'Historical Prices'!E582/'Historical Prices'!E581-1</f>
        <v>6.8863183526914895E-3</v>
      </c>
      <c r="F584" s="3">
        <f>'Historical Prices'!F582/'Historical Prices'!F581-1</f>
        <v>1.981483086205027E-2</v>
      </c>
      <c r="G584" s="9">
        <f t="shared" si="66"/>
        <v>7.6389361378753715E-3</v>
      </c>
      <c r="H584" s="6">
        <f t="shared" si="67"/>
        <v>7638.936137875372</v>
      </c>
      <c r="I584" s="9">
        <f t="shared" si="58"/>
        <v>1.402821251406188E-2</v>
      </c>
      <c r="J584">
        <f t="shared" si="59"/>
        <v>0</v>
      </c>
      <c r="K584" s="5">
        <f t="shared" si="60"/>
        <v>1.5282000736113388E-2</v>
      </c>
      <c r="L584">
        <f t="shared" si="61"/>
        <v>0</v>
      </c>
      <c r="M584" s="9">
        <f t="shared" si="62"/>
        <v>2.1498287275782593E-2</v>
      </c>
      <c r="N584">
        <f t="shared" si="63"/>
        <v>0</v>
      </c>
      <c r="O584" s="5">
        <f t="shared" si="64"/>
        <v>2.1763228927140006E-2</v>
      </c>
      <c r="P584">
        <f t="shared" si="65"/>
        <v>0</v>
      </c>
    </row>
    <row r="585" spans="1:16" x14ac:dyDescent="0.25">
      <c r="A585" s="2">
        <f>'Historical Prices'!A583</f>
        <v>45971</v>
      </c>
      <c r="B585" s="3">
        <f>'Historical Prices'!C583/'Historical Prices'!C582-1</f>
        <v>2.2396834592501857E-3</v>
      </c>
      <c r="C585" s="3">
        <f>'Historical Prices'!B583/'Historical Prices'!B582-1</f>
        <v>-4.7432138683236591E-3</v>
      </c>
      <c r="D585" s="3">
        <f>'Historical Prices'!D583/'Historical Prices'!D582-1</f>
        <v>3.7230473662404062E-3</v>
      </c>
      <c r="E585" s="3">
        <f>'Historical Prices'!E583/'Historical Prices'!E582-1</f>
        <v>2.4850994777015689E-2</v>
      </c>
      <c r="F585" s="3">
        <f>'Historical Prices'!F583/'Historical Prices'!F582-1</f>
        <v>-7.127032811520384E-3</v>
      </c>
      <c r="G585" s="9">
        <f t="shared" si="66"/>
        <v>3.6493009804678886E-3</v>
      </c>
      <c r="H585" s="6">
        <f t="shared" si="67"/>
        <v>3649.3009804678886</v>
      </c>
      <c r="I585" s="9">
        <f t="shared" si="58"/>
        <v>1.402821251406188E-2</v>
      </c>
      <c r="J585">
        <f t="shared" si="59"/>
        <v>0</v>
      </c>
      <c r="K585" s="5">
        <f t="shared" si="60"/>
        <v>1.5237055667123772E-2</v>
      </c>
      <c r="L585">
        <f t="shared" si="61"/>
        <v>0</v>
      </c>
      <c r="M585" s="9">
        <f t="shared" si="62"/>
        <v>2.1498287275782593E-2</v>
      </c>
      <c r="N585">
        <f t="shared" si="63"/>
        <v>0</v>
      </c>
      <c r="O585" s="5">
        <f t="shared" si="64"/>
        <v>2.1721151447281959E-2</v>
      </c>
      <c r="P585">
        <f t="shared" si="65"/>
        <v>0</v>
      </c>
    </row>
    <row r="586" spans="1:16" x14ac:dyDescent="0.25">
      <c r="A586" s="2">
        <f>'Historical Prices'!A584</f>
        <v>45972</v>
      </c>
      <c r="B586" s="3">
        <f>'Historical Prices'!C584/'Historical Prices'!C583-1</f>
        <v>7.3133270820231466E-3</v>
      </c>
      <c r="C586" s="3">
        <f>'Historical Prices'!B584/'Historical Prices'!B583-1</f>
        <v>4.5192818576951233E-3</v>
      </c>
      <c r="D586" s="3">
        <f>'Historical Prices'!D584/'Historical Prices'!D583-1</f>
        <v>7.6409310334561997E-3</v>
      </c>
      <c r="E586" s="3">
        <f>'Historical Prices'!E584/'Historical Prices'!E583-1</f>
        <v>1.1100136396105853E-2</v>
      </c>
      <c r="F586" s="3">
        <f>'Historical Prices'!F584/'Historical Prices'!F583-1</f>
        <v>2.3254013164574872E-2</v>
      </c>
      <c r="G586" s="9">
        <f t="shared" si="66"/>
        <v>1.0647194120955127E-2</v>
      </c>
      <c r="H586" s="6">
        <f t="shared" si="67"/>
        <v>10647.194120955126</v>
      </c>
      <c r="I586" s="9">
        <f t="shared" si="58"/>
        <v>1.402821251406188E-2</v>
      </c>
      <c r="J586">
        <f t="shared" si="59"/>
        <v>0</v>
      </c>
      <c r="K586" s="5">
        <f t="shared" si="60"/>
        <v>1.5216894574471545E-2</v>
      </c>
      <c r="L586">
        <f t="shared" si="61"/>
        <v>0</v>
      </c>
      <c r="M586" s="9">
        <f t="shared" si="62"/>
        <v>2.1498287275782593E-2</v>
      </c>
      <c r="N586">
        <f t="shared" si="63"/>
        <v>0</v>
      </c>
      <c r="O586" s="5">
        <f t="shared" si="64"/>
        <v>2.1675230277162227E-2</v>
      </c>
      <c r="P586">
        <f t="shared" si="65"/>
        <v>0</v>
      </c>
    </row>
    <row r="587" spans="1:16" x14ac:dyDescent="0.25">
      <c r="A587" s="2">
        <f>'Historical Prices'!A585</f>
        <v>45973</v>
      </c>
      <c r="B587" s="3">
        <f>'Historical Prices'!C585/'Historical Prices'!C584-1</f>
        <v>-2.2183916416598226E-3</v>
      </c>
      <c r="C587" s="3">
        <f>'Historical Prices'!B585/'Historical Prices'!B584-1</f>
        <v>-7.3618452359625053E-4</v>
      </c>
      <c r="D587" s="3">
        <f>'Historical Prices'!D585/'Historical Prices'!D584-1</f>
        <v>4.4171876996634829E-4</v>
      </c>
      <c r="E587" s="3">
        <f>'Historical Prices'!E585/'Historical Prices'!E584-1</f>
        <v>1.3984138460696238E-2</v>
      </c>
      <c r="F587" s="3">
        <f>'Historical Prices'!F585/'Historical Prices'!F584-1</f>
        <v>1.3869434771673905E-3</v>
      </c>
      <c r="G587" s="9">
        <f t="shared" si="66"/>
        <v>2.3417813841760675E-3</v>
      </c>
      <c r="H587" s="6">
        <f t="shared" si="67"/>
        <v>2341.7813841760676</v>
      </c>
      <c r="I587" s="9">
        <f t="shared" si="58"/>
        <v>1.402821251406188E-2</v>
      </c>
      <c r="J587">
        <f t="shared" si="59"/>
        <v>0</v>
      </c>
      <c r="K587" s="5">
        <f t="shared" si="60"/>
        <v>1.5220062484951655E-2</v>
      </c>
      <c r="L587">
        <f t="shared" si="61"/>
        <v>0</v>
      </c>
      <c r="M587" s="9">
        <f t="shared" si="62"/>
        <v>2.1498287275782593E-2</v>
      </c>
      <c r="N587">
        <f t="shared" si="63"/>
        <v>0</v>
      </c>
      <c r="O587" s="5">
        <f t="shared" si="64"/>
        <v>2.1681613057927093E-2</v>
      </c>
      <c r="P587">
        <f t="shared" si="65"/>
        <v>0</v>
      </c>
    </row>
    <row r="588" spans="1:16" x14ac:dyDescent="0.25">
      <c r="A588" s="2">
        <f>'Historical Prices'!A586</f>
        <v>45974</v>
      </c>
      <c r="B588" s="3">
        <f>'Historical Prices'!C586/'Historical Prices'!C585-1</f>
        <v>-2.8802007299384424E-3</v>
      </c>
      <c r="C588" s="3">
        <f>'Historical Prices'!B586/'Historical Prices'!B585-1</f>
        <v>2.946907562126011E-3</v>
      </c>
      <c r="D588" s="3">
        <f>'Historical Prices'!D586/'Historical Prices'!D585-1</f>
        <v>1.9869021266696985E-2</v>
      </c>
      <c r="E588" s="3">
        <f>'Historical Prices'!E586/'Historical Prices'!E585-1</f>
        <v>-6.3800992149112279E-3</v>
      </c>
      <c r="F588" s="3">
        <f>'Historical Prices'!F586/'Historical Prices'!F585-1</f>
        <v>-1.459658795688179E-2</v>
      </c>
      <c r="G588" s="9">
        <f t="shared" si="66"/>
        <v>4.7585768119043879E-4</v>
      </c>
      <c r="H588" s="6">
        <f t="shared" si="67"/>
        <v>475.85768119043877</v>
      </c>
      <c r="I588" s="9">
        <f t="shared" si="58"/>
        <v>1.402821251406188E-2</v>
      </c>
      <c r="J588">
        <f t="shared" si="59"/>
        <v>0</v>
      </c>
      <c r="K588" s="5">
        <f t="shared" si="60"/>
        <v>1.5120798093896598E-2</v>
      </c>
      <c r="L588">
        <f t="shared" si="61"/>
        <v>0</v>
      </c>
      <c r="M588" s="9">
        <f t="shared" si="62"/>
        <v>2.1498287275782593E-2</v>
      </c>
      <c r="N588">
        <f t="shared" si="63"/>
        <v>0</v>
      </c>
      <c r="O588" s="5">
        <f t="shared" si="64"/>
        <v>2.1563587989182769E-2</v>
      </c>
      <c r="P588">
        <f t="shared" si="65"/>
        <v>0</v>
      </c>
    </row>
    <row r="589" spans="1:16" x14ac:dyDescent="0.25">
      <c r="A589" s="2">
        <f>'Historical Prices'!A587</f>
        <v>45975</v>
      </c>
      <c r="B589" s="3">
        <f>'Historical Prices'!C587/'Historical Prices'!C586-1</f>
        <v>2.9898266032626353E-3</v>
      </c>
      <c r="C589" s="3">
        <f>'Historical Prices'!B587/'Historical Prices'!B586-1</f>
        <v>1.338564376096163E-2</v>
      </c>
      <c r="D589" s="3">
        <f>'Historical Prices'!D587/'Historical Prices'!D586-1</f>
        <v>-9.3080007343866455E-3</v>
      </c>
      <c r="E589" s="3">
        <f>'Historical Prices'!E587/'Historical Prices'!E586-1</f>
        <v>-2.5295116841517418E-2</v>
      </c>
      <c r="F589" s="3">
        <f>'Historical Prices'!F587/'Historical Prices'!F586-1</f>
        <v>-2.43270142891161E-4</v>
      </c>
      <c r="G589" s="9">
        <f t="shared" si="66"/>
        <v>-3.7342373548335675E-3</v>
      </c>
      <c r="H589" s="6">
        <f t="shared" si="67"/>
        <v>-3734.2373548335677</v>
      </c>
      <c r="I589" s="9">
        <f t="shared" si="58"/>
        <v>1.402821251406188E-2</v>
      </c>
      <c r="J589">
        <f t="shared" si="59"/>
        <v>0</v>
      </c>
      <c r="K589" s="5">
        <f t="shared" si="60"/>
        <v>1.5131995929374789E-2</v>
      </c>
      <c r="L589">
        <f t="shared" si="61"/>
        <v>0</v>
      </c>
      <c r="M589" s="9">
        <f t="shared" si="62"/>
        <v>2.1498287275782593E-2</v>
      </c>
      <c r="N589">
        <f t="shared" si="63"/>
        <v>0</v>
      </c>
      <c r="O589" s="5">
        <f t="shared" si="64"/>
        <v>2.1570430547169613E-2</v>
      </c>
      <c r="P589">
        <f t="shared" si="65"/>
        <v>0</v>
      </c>
    </row>
    <row r="590" spans="1:16" x14ac:dyDescent="0.25">
      <c r="A590" s="2">
        <f>'Historical Prices'!A588</f>
        <v>45978</v>
      </c>
      <c r="B590" s="3">
        <f>'Historical Prices'!C588/'Historical Prices'!C587-1</f>
        <v>7.0230325699907059E-3</v>
      </c>
      <c r="C590" s="3">
        <f>'Historical Prices'!B588/'Historical Prices'!B587-1</f>
        <v>6.4432501530748976E-3</v>
      </c>
      <c r="D590" s="3">
        <f>'Historical Prices'!D588/'Historical Prices'!D587-1</f>
        <v>4.3699846847464752E-3</v>
      </c>
      <c r="E590" s="3">
        <f>'Historical Prices'!E588/'Historical Prices'!E587-1</f>
        <v>3.1940604367781678E-3</v>
      </c>
      <c r="F590" s="3">
        <f>'Historical Prices'!F588/'Historical Prices'!F587-1</f>
        <v>9.8144833917388485E-3</v>
      </c>
      <c r="G590" s="9">
        <f t="shared" si="66"/>
        <v>6.144513513055741E-3</v>
      </c>
      <c r="H590" s="6">
        <f t="shared" si="67"/>
        <v>6144.513513055741</v>
      </c>
      <c r="I590" s="9">
        <f t="shared" si="58"/>
        <v>1.402821251406188E-2</v>
      </c>
      <c r="J590">
        <f t="shared" si="59"/>
        <v>0</v>
      </c>
      <c r="K590" s="5">
        <f t="shared" si="60"/>
        <v>1.5165504188124124E-2</v>
      </c>
      <c r="L590">
        <f t="shared" si="61"/>
        <v>0</v>
      </c>
      <c r="M590" s="9">
        <f t="shared" si="62"/>
        <v>2.1498287275782593E-2</v>
      </c>
      <c r="N590">
        <f t="shared" si="63"/>
        <v>0</v>
      </c>
      <c r="O590" s="5">
        <f t="shared" si="64"/>
        <v>2.160322885873105E-2</v>
      </c>
      <c r="P590">
        <f t="shared" si="65"/>
        <v>0</v>
      </c>
    </row>
    <row r="591" spans="1:16" x14ac:dyDescent="0.25">
      <c r="A591" s="2">
        <f>'Historical Prices'!A589</f>
        <v>45979</v>
      </c>
      <c r="B591" s="3">
        <f>'Historical Prices'!C589/'Historical Prices'!C588-1</f>
        <v>-4.1141661334664903E-3</v>
      </c>
      <c r="C591" s="3">
        <f>'Historical Prices'!B589/'Historical Prices'!B588-1</f>
        <v>1.2644158659725679E-2</v>
      </c>
      <c r="D591" s="3">
        <f>'Historical Prices'!D589/'Historical Prices'!D588-1</f>
        <v>-4.0609419810723191E-3</v>
      </c>
      <c r="E591" s="3">
        <f>'Historical Prices'!E589/'Historical Prices'!E588-1</f>
        <v>-1.4062095178724365E-2</v>
      </c>
      <c r="F591" s="3">
        <f>'Historical Prices'!F589/'Historical Prices'!F588-1</f>
        <v>-1.0736522738438836E-2</v>
      </c>
      <c r="G591" s="9">
        <f t="shared" si="66"/>
        <v>-4.1254793496114288E-3</v>
      </c>
      <c r="H591" s="6">
        <f t="shared" si="67"/>
        <v>-4125.4793496114289</v>
      </c>
      <c r="I591" s="9">
        <f t="shared" si="58"/>
        <v>1.402821251406188E-2</v>
      </c>
      <c r="J591">
        <f t="shared" si="59"/>
        <v>0</v>
      </c>
      <c r="K591" s="5">
        <f t="shared" si="60"/>
        <v>1.5087948775122971E-2</v>
      </c>
      <c r="L591">
        <f t="shared" si="61"/>
        <v>0</v>
      </c>
      <c r="M591" s="9">
        <f t="shared" si="62"/>
        <v>2.1498287275782593E-2</v>
      </c>
      <c r="N591">
        <f t="shared" si="63"/>
        <v>0</v>
      </c>
      <c r="O591" s="5">
        <f t="shared" si="64"/>
        <v>2.1518258027835937E-2</v>
      </c>
      <c r="P591">
        <f t="shared" si="65"/>
        <v>0</v>
      </c>
    </row>
    <row r="592" spans="1:16" x14ac:dyDescent="0.25">
      <c r="A592" s="2">
        <f>'Historical Prices'!A590</f>
        <v>45980</v>
      </c>
      <c r="B592" s="3">
        <f>'Historical Prices'!C590/'Historical Prices'!C589-1</f>
        <v>2.166326784506456E-3</v>
      </c>
      <c r="C592" s="3">
        <f>'Historical Prices'!B590/'Historical Prices'!B589-1</f>
        <v>3.951277489293803E-3</v>
      </c>
      <c r="D592" s="3">
        <f>'Historical Prices'!D590/'Historical Prices'!D589-1</f>
        <v>7.0627557008768882E-3</v>
      </c>
      <c r="E592" s="3">
        <f>'Historical Prices'!E590/'Historical Prices'!E589-1</f>
        <v>3.6800312383691303E-2</v>
      </c>
      <c r="F592" s="3">
        <f>'Historical Prices'!F590/'Historical Prices'!F589-1</f>
        <v>7.4970166841339392E-3</v>
      </c>
      <c r="G592" s="9">
        <f t="shared" si="66"/>
        <v>1.102053724065428E-2</v>
      </c>
      <c r="H592" s="6">
        <f t="shared" si="67"/>
        <v>11020.537240654279</v>
      </c>
      <c r="I592" s="9">
        <f t="shared" si="58"/>
        <v>1.341237837124596E-2</v>
      </c>
      <c r="J592">
        <f t="shared" si="59"/>
        <v>0</v>
      </c>
      <c r="K592" s="5">
        <f t="shared" si="60"/>
        <v>1.493283613771792E-2</v>
      </c>
      <c r="L592">
        <f t="shared" si="61"/>
        <v>0</v>
      </c>
      <c r="M592" s="9">
        <f t="shared" si="62"/>
        <v>2.1498287275782593E-2</v>
      </c>
      <c r="N592">
        <f t="shared" si="63"/>
        <v>0</v>
      </c>
      <c r="O592" s="5">
        <f t="shared" si="64"/>
        <v>2.132061595380692E-2</v>
      </c>
      <c r="P592">
        <f t="shared" si="65"/>
        <v>0</v>
      </c>
    </row>
    <row r="593" spans="1:16" x14ac:dyDescent="0.25">
      <c r="A593" s="2">
        <f>'Historical Prices'!A591</f>
        <v>45981</v>
      </c>
      <c r="B593" s="3">
        <f>'Historical Prices'!C591/'Historical Prices'!C590-1</f>
        <v>1.4327410084544301E-2</v>
      </c>
      <c r="C593" s="3">
        <f>'Historical Prices'!B591/'Historical Prices'!B590-1</f>
        <v>1.1649857675142483E-2</v>
      </c>
      <c r="D593" s="3">
        <f>'Historical Prices'!D591/'Historical Prices'!D590-1</f>
        <v>-7.2270071477031905E-5</v>
      </c>
      <c r="E593" s="3">
        <f>'Historical Prices'!E591/'Historical Prices'!E590-1</f>
        <v>-2.9848784769669345E-3</v>
      </c>
      <c r="F593" s="3">
        <f>'Historical Prices'!F591/'Historical Prices'!F590-1</f>
        <v>-1.5580985868821617E-3</v>
      </c>
      <c r="G593" s="9">
        <f t="shared" si="66"/>
        <v>4.2953088984292931E-3</v>
      </c>
      <c r="H593" s="6">
        <f t="shared" si="67"/>
        <v>4295.3088984292926</v>
      </c>
      <c r="I593" s="9">
        <f t="shared" si="58"/>
        <v>1.341237837124596E-2</v>
      </c>
      <c r="J593">
        <f t="shared" si="59"/>
        <v>0</v>
      </c>
      <c r="K593" s="5">
        <f t="shared" si="60"/>
        <v>1.493618154583575E-2</v>
      </c>
      <c r="L593">
        <f t="shared" si="61"/>
        <v>0</v>
      </c>
      <c r="M593" s="9">
        <f t="shared" si="62"/>
        <v>2.1498287275782593E-2</v>
      </c>
      <c r="N593">
        <f t="shared" si="63"/>
        <v>0</v>
      </c>
      <c r="O593" s="5">
        <f t="shared" si="64"/>
        <v>2.1339537021431397E-2</v>
      </c>
      <c r="P593">
        <f t="shared" si="65"/>
        <v>0</v>
      </c>
    </row>
    <row r="594" spans="1:16" x14ac:dyDescent="0.25">
      <c r="A594" s="2">
        <f>'Historical Prices'!A592</f>
        <v>45982</v>
      </c>
      <c r="B594" s="3">
        <f>'Historical Prices'!C592/'Historical Prices'!C591-1</f>
        <v>-1.0705245599864077E-2</v>
      </c>
      <c r="C594" s="3">
        <f>'Historical Prices'!B592/'Historical Prices'!B591-1</f>
        <v>-7.3139931627064225E-3</v>
      </c>
      <c r="D594" s="3">
        <f>'Historical Prices'!D592/'Historical Prices'!D591-1</f>
        <v>-9.7614372316212616E-3</v>
      </c>
      <c r="E594" s="3">
        <f>'Historical Prices'!E592/'Historical Prices'!E591-1</f>
        <v>5.5320435161128056E-3</v>
      </c>
      <c r="F594" s="3">
        <f>'Historical Prices'!F592/'Historical Prices'!F591-1</f>
        <v>8.8519424052235784E-3</v>
      </c>
      <c r="G594" s="9">
        <f t="shared" si="66"/>
        <v>-3.100012913003841E-3</v>
      </c>
      <c r="H594" s="6">
        <f t="shared" si="67"/>
        <v>-3100.0129130038408</v>
      </c>
      <c r="I594" s="9">
        <f t="shared" si="58"/>
        <v>1.341237837124596E-2</v>
      </c>
      <c r="J594">
        <f t="shared" si="59"/>
        <v>0</v>
      </c>
      <c r="K594" s="5">
        <f t="shared" si="60"/>
        <v>1.4901042562123445E-2</v>
      </c>
      <c r="L594">
        <f t="shared" si="61"/>
        <v>0</v>
      </c>
      <c r="M594" s="9">
        <f t="shared" si="62"/>
        <v>2.1498287275782593E-2</v>
      </c>
      <c r="N594">
        <f t="shared" si="63"/>
        <v>0</v>
      </c>
      <c r="O594" s="5">
        <f t="shared" si="64"/>
        <v>2.1303516666645358E-2</v>
      </c>
      <c r="P594">
        <f t="shared" si="65"/>
        <v>0</v>
      </c>
    </row>
    <row r="595" spans="1:16" x14ac:dyDescent="0.25">
      <c r="A595" s="2">
        <f>'Historical Prices'!A593</f>
        <v>45985</v>
      </c>
      <c r="B595" s="3">
        <f>'Historical Prices'!C593/'Historical Prices'!C592-1</f>
        <v>1.1021386425635882E-3</v>
      </c>
      <c r="C595" s="3">
        <f>'Historical Prices'!B593/'Historical Prices'!B592-1</f>
        <v>-5.3300202043419231E-3</v>
      </c>
      <c r="D595" s="3">
        <f>'Historical Prices'!D593/'Historical Prices'!D592-1</f>
        <v>-8.0313502205286991E-4</v>
      </c>
      <c r="E595" s="3">
        <f>'Historical Prices'!E593/'Historical Prices'!E592-1</f>
        <v>1.9417916159578663E-3</v>
      </c>
      <c r="F595" s="3">
        <f>'Historical Prices'!F593/'Historical Prices'!F592-1</f>
        <v>-1.5681682285492937E-2</v>
      </c>
      <c r="G595" s="9">
        <f t="shared" si="66"/>
        <v>-3.6015788928838452E-3</v>
      </c>
      <c r="H595" s="6">
        <f t="shared" si="67"/>
        <v>-3601.5788928838451</v>
      </c>
      <c r="I595" s="9">
        <f t="shared" si="58"/>
        <v>1.341237837124596E-2</v>
      </c>
      <c r="J595">
        <f t="shared" si="59"/>
        <v>0</v>
      </c>
      <c r="K595" s="5">
        <f t="shared" si="60"/>
        <v>1.4913560369058866E-2</v>
      </c>
      <c r="L595">
        <f t="shared" si="61"/>
        <v>0</v>
      </c>
      <c r="M595" s="9">
        <f t="shared" si="62"/>
        <v>2.1498287275782593E-2</v>
      </c>
      <c r="N595">
        <f t="shared" si="63"/>
        <v>0</v>
      </c>
      <c r="O595" s="5">
        <f t="shared" si="64"/>
        <v>2.1293986482323335E-2</v>
      </c>
      <c r="P595">
        <f t="shared" si="65"/>
        <v>0</v>
      </c>
    </row>
    <row r="596" spans="1:16" x14ac:dyDescent="0.25">
      <c r="A596" s="2">
        <f>'Historical Prices'!A594</f>
        <v>45986</v>
      </c>
      <c r="B596" s="3">
        <f>'Historical Prices'!C594/'Historical Prices'!C593-1</f>
        <v>-9.3579579435244531E-3</v>
      </c>
      <c r="C596" s="3">
        <f>'Historical Prices'!B594/'Historical Prices'!B593-1</f>
        <v>-2.1276253685026392E-3</v>
      </c>
      <c r="D596" s="3">
        <f>'Historical Prices'!D594/'Historical Prices'!D593-1</f>
        <v>-7.7462496687276117E-3</v>
      </c>
      <c r="E596" s="3">
        <f>'Historical Prices'!E594/'Historical Prices'!E593-1</f>
        <v>-1.1240338961613472E-2</v>
      </c>
      <c r="F596" s="3">
        <f>'Historical Prices'!F594/'Historical Prices'!F593-1</f>
        <v>-5.8253082636103848E-3</v>
      </c>
      <c r="G596" s="9">
        <f t="shared" si="66"/>
        <v>-7.3234869716085234E-3</v>
      </c>
      <c r="H596" s="6">
        <f t="shared" si="67"/>
        <v>-7323.4869716085232</v>
      </c>
      <c r="I596" s="9">
        <f t="shared" si="58"/>
        <v>1.341237837124596E-2</v>
      </c>
      <c r="J596">
        <f t="shared" si="59"/>
        <v>0</v>
      </c>
      <c r="K596" s="5">
        <f t="shared" si="60"/>
        <v>1.4938062505774565E-2</v>
      </c>
      <c r="L596">
        <f t="shared" si="61"/>
        <v>0</v>
      </c>
      <c r="M596" s="9">
        <f t="shared" si="62"/>
        <v>2.1498287275782593E-2</v>
      </c>
      <c r="N596">
        <f t="shared" si="63"/>
        <v>0</v>
      </c>
      <c r="O596" s="5">
        <f t="shared" si="64"/>
        <v>2.1320864402153215E-2</v>
      </c>
      <c r="P596">
        <f t="shared" si="65"/>
        <v>0</v>
      </c>
    </row>
    <row r="597" spans="1:16" x14ac:dyDescent="0.25">
      <c r="A597" s="2">
        <f>'Historical Prices'!A595</f>
        <v>45987</v>
      </c>
      <c r="B597" s="3">
        <f>'Historical Prices'!C595/'Historical Prices'!C594-1</f>
        <v>1.4245319807291823E-2</v>
      </c>
      <c r="C597" s="3">
        <f>'Historical Prices'!B595/'Historical Prices'!B594-1</f>
        <v>1.8873794852479975E-2</v>
      </c>
      <c r="D597" s="3">
        <f>'Historical Prices'!D595/'Historical Prices'!D594-1</f>
        <v>1.2667508544113248E-2</v>
      </c>
      <c r="E597" s="3">
        <f>'Historical Prices'!E595/'Historical Prices'!E594-1</f>
        <v>1.7836172185772936E-2</v>
      </c>
      <c r="F597" s="3">
        <f>'Historical Prices'!F595/'Historical Prices'!F594-1</f>
        <v>4.6603095313126897E-3</v>
      </c>
      <c r="G597" s="9">
        <f t="shared" si="66"/>
        <v>1.3549815921176656E-2</v>
      </c>
      <c r="H597" s="6">
        <f t="shared" si="67"/>
        <v>13549.815921176656</v>
      </c>
      <c r="I597" s="9">
        <f t="shared" si="58"/>
        <v>1.341237837124596E-2</v>
      </c>
      <c r="J597">
        <f t="shared" si="59"/>
        <v>0</v>
      </c>
      <c r="K597" s="5">
        <f t="shared" si="60"/>
        <v>1.4951510123323169E-2</v>
      </c>
      <c r="L597">
        <f t="shared" si="61"/>
        <v>0</v>
      </c>
      <c r="M597" s="9">
        <f t="shared" si="62"/>
        <v>2.1498287275782593E-2</v>
      </c>
      <c r="N597">
        <f t="shared" si="63"/>
        <v>0</v>
      </c>
      <c r="O597" s="5">
        <f t="shared" si="64"/>
        <v>2.1297975510065119E-2</v>
      </c>
      <c r="P597">
        <f t="shared" si="65"/>
        <v>0</v>
      </c>
    </row>
    <row r="598" spans="1:16" x14ac:dyDescent="0.25">
      <c r="A598" s="2">
        <f>'Historical Prices'!A596</f>
        <v>45988</v>
      </c>
      <c r="B598" s="3">
        <f>'Historical Prices'!C596/'Historical Prices'!C595-1</f>
        <v>5.5782082948476752E-3</v>
      </c>
      <c r="C598" s="3">
        <f>'Historical Prices'!B596/'Historical Prices'!B595-1</f>
        <v>-2.2476669968376495E-3</v>
      </c>
      <c r="D598" s="3">
        <f>'Historical Prices'!D596/'Historical Prices'!D595-1</f>
        <v>1.2509050045779624E-2</v>
      </c>
      <c r="E598" s="3">
        <f>'Historical Prices'!E596/'Historical Prices'!E595-1</f>
        <v>5.4560527467266695E-3</v>
      </c>
      <c r="F598" s="3">
        <f>'Historical Prices'!F596/'Historical Prices'!F595-1</f>
        <v>-1.4106002479492563E-3</v>
      </c>
      <c r="G598" s="9">
        <f t="shared" si="66"/>
        <v>4.3460982066614064E-3</v>
      </c>
      <c r="H598" s="6">
        <f t="shared" si="67"/>
        <v>4346.098206661406</v>
      </c>
      <c r="I598" s="9">
        <f t="shared" si="58"/>
        <v>1.341237837124596E-2</v>
      </c>
      <c r="J598">
        <f t="shared" si="59"/>
        <v>0</v>
      </c>
      <c r="K598" s="5">
        <f t="shared" si="60"/>
        <v>1.4959097130153049E-2</v>
      </c>
      <c r="L598">
        <f t="shared" si="61"/>
        <v>0</v>
      </c>
      <c r="M598" s="9">
        <f t="shared" si="62"/>
        <v>2.1498287275782593E-2</v>
      </c>
      <c r="N598">
        <f t="shared" si="63"/>
        <v>0</v>
      </c>
      <c r="O598" s="5">
        <f t="shared" si="64"/>
        <v>2.1311334912603803E-2</v>
      </c>
      <c r="P598">
        <f t="shared" si="65"/>
        <v>0</v>
      </c>
    </row>
    <row r="599" spans="1:16" x14ac:dyDescent="0.25">
      <c r="A599" s="2">
        <f>'Historical Prices'!A597</f>
        <v>45989</v>
      </c>
      <c r="B599" s="3">
        <f>'Historical Prices'!C597/'Historical Prices'!C596-1</f>
        <v>-1.8821130851079948E-3</v>
      </c>
      <c r="C599" s="3">
        <f>'Historical Prices'!B597/'Historical Prices'!B596-1</f>
        <v>-5.9039035590729982E-3</v>
      </c>
      <c r="D599" s="3">
        <f>'Historical Prices'!D597/'Historical Prices'!D596-1</f>
        <v>-2.4420938857283581E-3</v>
      </c>
      <c r="E599" s="3">
        <f>'Historical Prices'!E597/'Historical Prices'!E596-1</f>
        <v>-4.0220045055179288E-3</v>
      </c>
      <c r="F599" s="3">
        <f>'Historical Prices'!F597/'Historical Prices'!F596-1</f>
        <v>2.0672590692475401E-2</v>
      </c>
      <c r="G599" s="9">
        <f t="shared" si="66"/>
        <v>1.2077874632150892E-3</v>
      </c>
      <c r="H599" s="6">
        <f t="shared" si="67"/>
        <v>1207.7874632150892</v>
      </c>
      <c r="I599" s="9">
        <f t="shared" si="58"/>
        <v>1.341237837124596E-2</v>
      </c>
      <c r="J599">
        <f t="shared" si="59"/>
        <v>0</v>
      </c>
      <c r="K599" s="5">
        <f t="shared" si="60"/>
        <v>1.4939787410117844E-2</v>
      </c>
      <c r="L599">
        <f t="shared" si="61"/>
        <v>0</v>
      </c>
      <c r="M599" s="9">
        <f t="shared" si="62"/>
        <v>2.1498287275782593E-2</v>
      </c>
      <c r="N599">
        <f t="shared" si="63"/>
        <v>0</v>
      </c>
      <c r="O599" s="5">
        <f t="shared" si="64"/>
        <v>2.129378398694701E-2</v>
      </c>
      <c r="P599">
        <f t="shared" si="65"/>
        <v>0</v>
      </c>
    </row>
    <row r="600" spans="1:16" x14ac:dyDescent="0.25">
      <c r="A600" s="2">
        <f>'Historical Prices'!A598</f>
        <v>45992</v>
      </c>
      <c r="B600" s="3">
        <f>'Historical Prices'!C598/'Historical Prices'!C597-1</f>
        <v>-5.4585247623464284E-3</v>
      </c>
      <c r="C600" s="3">
        <f>'Historical Prices'!B598/'Historical Prices'!B597-1</f>
        <v>-3.1256613821021295E-3</v>
      </c>
      <c r="D600" s="3">
        <f>'Historical Prices'!D598/'Historical Prices'!D597-1</f>
        <v>9.3600939838522912E-4</v>
      </c>
      <c r="E600" s="3">
        <f>'Historical Prices'!E598/'Historical Prices'!E597-1</f>
        <v>2.4998325291267776E-3</v>
      </c>
      <c r="F600" s="3">
        <f>'Historical Prices'!F598/'Historical Prices'!F597-1</f>
        <v>-4.1784737100148961E-3</v>
      </c>
      <c r="G600" s="9">
        <f t="shared" si="66"/>
        <v>-1.8573436620272672E-3</v>
      </c>
      <c r="H600" s="6">
        <f t="shared" si="67"/>
        <v>-1857.3436620272673</v>
      </c>
      <c r="I600" s="9">
        <f t="shared" si="58"/>
        <v>1.341237837124596E-2</v>
      </c>
      <c r="J600">
        <f t="shared" si="59"/>
        <v>0</v>
      </c>
      <c r="K600" s="5">
        <f t="shared" si="60"/>
        <v>1.4947198673875135E-2</v>
      </c>
      <c r="L600">
        <f t="shared" si="61"/>
        <v>0</v>
      </c>
      <c r="M600" s="9">
        <f t="shared" si="62"/>
        <v>2.1498287275782593E-2</v>
      </c>
      <c r="N600">
        <f t="shared" si="63"/>
        <v>0</v>
      </c>
      <c r="O600" s="5">
        <f t="shared" si="64"/>
        <v>2.1298822729018913E-2</v>
      </c>
      <c r="P600">
        <f t="shared" si="65"/>
        <v>0</v>
      </c>
    </row>
    <row r="601" spans="1:16" x14ac:dyDescent="0.25">
      <c r="A601" s="2">
        <f>'Historical Prices'!A599</f>
        <v>45993</v>
      </c>
      <c r="B601" s="3">
        <f>'Historical Prices'!C599/'Historical Prices'!C598-1</f>
        <v>-1.2274202782653676E-2</v>
      </c>
      <c r="C601" s="3">
        <f>'Historical Prices'!B599/'Historical Prices'!B598-1</f>
        <v>-1.3874767883225836E-2</v>
      </c>
      <c r="D601" s="3">
        <f>'Historical Prices'!D599/'Historical Prices'!D598-1</f>
        <v>-1.2301264078151686E-2</v>
      </c>
      <c r="E601" s="3">
        <f>'Historical Prices'!E599/'Historical Prices'!E598-1</f>
        <v>-1.9181223691100424E-3</v>
      </c>
      <c r="F601" s="3">
        <f>'Historical Prices'!F599/'Historical Prices'!F598-1</f>
        <v>-6.708414859895151E-3</v>
      </c>
      <c r="G601" s="9">
        <f t="shared" si="66"/>
        <v>-9.593417149406834E-3</v>
      </c>
      <c r="H601" s="6">
        <f t="shared" si="67"/>
        <v>-9593.4171494068341</v>
      </c>
      <c r="I601" s="9">
        <f t="shared" si="58"/>
        <v>1.2631921228003419E-2</v>
      </c>
      <c r="J601">
        <f t="shared" si="59"/>
        <v>0</v>
      </c>
      <c r="K601" s="5">
        <f t="shared" si="60"/>
        <v>1.4712905870800772E-2</v>
      </c>
      <c r="L601">
        <f t="shared" si="61"/>
        <v>0</v>
      </c>
      <c r="M601" s="9">
        <f t="shared" si="62"/>
        <v>2.066594675207737E-2</v>
      </c>
      <c r="N601">
        <f t="shared" si="63"/>
        <v>0</v>
      </c>
      <c r="O601" s="5">
        <f t="shared" si="64"/>
        <v>2.0998846999603648E-2</v>
      </c>
      <c r="P601">
        <f t="shared" si="65"/>
        <v>0</v>
      </c>
    </row>
    <row r="602" spans="1:16" x14ac:dyDescent="0.25">
      <c r="A602" s="2">
        <f>'Historical Prices'!A600</f>
        <v>45994</v>
      </c>
      <c r="B602" s="3">
        <f>'Historical Prices'!C600/'Historical Prices'!C599-1</f>
        <v>1.081023547315052E-2</v>
      </c>
      <c r="C602" s="3">
        <f>'Historical Prices'!B600/'Historical Prices'!B599-1</f>
        <v>1.0095367908270703E-2</v>
      </c>
      <c r="D602" s="3">
        <f>'Historical Prices'!D600/'Historical Prices'!D599-1</f>
        <v>1.347414185895035E-2</v>
      </c>
      <c r="E602" s="3">
        <f>'Historical Prices'!E600/'Historical Prices'!E599-1</f>
        <v>1.1338870666792511E-2</v>
      </c>
      <c r="F602" s="3">
        <f>'Historical Prices'!F600/'Historical Prices'!F599-1</f>
        <v>-1.8054665037857354E-2</v>
      </c>
      <c r="G602" s="9">
        <f t="shared" si="66"/>
        <v>5.8130677099279601E-3</v>
      </c>
      <c r="H602" s="6">
        <f t="shared" si="67"/>
        <v>5813.0677099279601</v>
      </c>
      <c r="I602" s="9">
        <f t="shared" si="58"/>
        <v>1.2631921228003419E-2</v>
      </c>
      <c r="J602">
        <f t="shared" si="59"/>
        <v>0</v>
      </c>
      <c r="K602" s="5">
        <f t="shared" si="60"/>
        <v>1.4798644199121571E-2</v>
      </c>
      <c r="L602">
        <f t="shared" si="61"/>
        <v>0</v>
      </c>
      <c r="M602" s="9">
        <f t="shared" si="62"/>
        <v>2.066594675207737E-2</v>
      </c>
      <c r="N602">
        <f t="shared" si="63"/>
        <v>0</v>
      </c>
      <c r="O602" s="5">
        <f t="shared" si="64"/>
        <v>2.1090946603539419E-2</v>
      </c>
      <c r="P602">
        <f t="shared" si="65"/>
        <v>0</v>
      </c>
    </row>
    <row r="603" spans="1:16" x14ac:dyDescent="0.25">
      <c r="A603" s="2">
        <f>'Historical Prices'!A601</f>
        <v>45995</v>
      </c>
      <c r="B603" s="3">
        <f>'Historical Prices'!C601/'Historical Prices'!C600-1</f>
        <v>-3.2983193993855187E-3</v>
      </c>
      <c r="C603" s="3">
        <f>'Historical Prices'!B601/'Historical Prices'!B600-1</f>
        <v>7.3188116542612924E-3</v>
      </c>
      <c r="D603" s="3">
        <f>'Historical Prices'!D601/'Historical Prices'!D600-1</f>
        <v>-3.449614738173068E-3</v>
      </c>
      <c r="E603" s="3">
        <f>'Historical Prices'!E601/'Historical Prices'!E600-1</f>
        <v>1.1971846896486893E-2</v>
      </c>
      <c r="F603" s="3">
        <f>'Historical Prices'!F601/'Historical Prices'!F600-1</f>
        <v>6.0832455585722034E-3</v>
      </c>
      <c r="G603" s="9">
        <f t="shared" si="66"/>
        <v>3.2463647638293703E-3</v>
      </c>
      <c r="H603" s="6">
        <f t="shared" si="67"/>
        <v>3246.3647638293701</v>
      </c>
      <c r="I603" s="9">
        <f t="shared" si="58"/>
        <v>1.2631921228003419E-2</v>
      </c>
      <c r="J603">
        <f t="shared" si="59"/>
        <v>0</v>
      </c>
      <c r="K603" s="5">
        <f t="shared" si="60"/>
        <v>1.4797936212296268E-2</v>
      </c>
      <c r="L603">
        <f t="shared" si="61"/>
        <v>0</v>
      </c>
      <c r="M603" s="9">
        <f t="shared" si="62"/>
        <v>2.066594675207737E-2</v>
      </c>
      <c r="N603">
        <f t="shared" si="63"/>
        <v>0</v>
      </c>
      <c r="O603" s="5">
        <f t="shared" si="64"/>
        <v>2.1087330543741813E-2</v>
      </c>
      <c r="P603">
        <f t="shared" si="65"/>
        <v>0</v>
      </c>
    </row>
    <row r="604" spans="1:16" x14ac:dyDescent="0.25">
      <c r="A604" s="2">
        <f>'Historical Prices'!A602</f>
        <v>45996</v>
      </c>
      <c r="B604" s="3">
        <f>'Historical Prices'!C602/'Historical Prices'!C601-1</f>
        <v>6.1171090779925663E-3</v>
      </c>
      <c r="C604" s="3">
        <f>'Historical Prices'!B602/'Historical Prices'!B601-1</f>
        <v>1.9531997496771147E-3</v>
      </c>
      <c r="D604" s="3">
        <f>'Historical Prices'!D602/'Historical Prices'!D601-1</f>
        <v>4.1826466458536604E-3</v>
      </c>
      <c r="E604" s="3">
        <f>'Historical Prices'!E602/'Historical Prices'!E601-1</f>
        <v>1.1642478246658872E-2</v>
      </c>
      <c r="F604" s="3">
        <f>'Historical Prices'!F602/'Historical Prices'!F601-1</f>
        <v>1.2392471629926627E-2</v>
      </c>
      <c r="G604" s="9">
        <f t="shared" si="66"/>
        <v>7.1377460039075292E-3</v>
      </c>
      <c r="H604" s="6">
        <f t="shared" si="67"/>
        <v>7137.7460039075295</v>
      </c>
      <c r="I604" s="9">
        <f t="shared" si="58"/>
        <v>1.2631921228003419E-2</v>
      </c>
      <c r="J604">
        <f t="shared" si="59"/>
        <v>0</v>
      </c>
      <c r="K604" s="5">
        <f t="shared" si="60"/>
        <v>1.4797522947234687E-2</v>
      </c>
      <c r="L604">
        <f t="shared" si="61"/>
        <v>0</v>
      </c>
      <c r="M604" s="9">
        <f t="shared" si="62"/>
        <v>2.066594675207737E-2</v>
      </c>
      <c r="N604">
        <f t="shared" si="63"/>
        <v>0</v>
      </c>
      <c r="O604" s="5">
        <f t="shared" si="64"/>
        <v>2.1077428147668376E-2</v>
      </c>
      <c r="P604">
        <f t="shared" si="65"/>
        <v>0</v>
      </c>
    </row>
    <row r="605" spans="1:16" x14ac:dyDescent="0.25">
      <c r="A605" s="2">
        <f>'Historical Prices'!A603</f>
        <v>45999</v>
      </c>
      <c r="B605" s="3">
        <f>'Historical Prices'!C603/'Historical Prices'!C602-1</f>
        <v>-1.9937400026992513E-4</v>
      </c>
      <c r="C605" s="3">
        <f>'Historical Prices'!B603/'Historical Prices'!B602-1</f>
        <v>-6.7835800309086203E-3</v>
      </c>
      <c r="D605" s="3">
        <f>'Historical Prices'!D603/'Historical Prices'!D602-1</f>
        <v>-2.0825682899053843E-3</v>
      </c>
      <c r="E605" s="3">
        <f>'Historical Prices'!E603/'Historical Prices'!E602-1</f>
        <v>-3.3411075680152003E-3</v>
      </c>
      <c r="F605" s="3">
        <f>'Historical Prices'!F603/'Historical Prices'!F602-1</f>
        <v>-9.5235844974214112E-3</v>
      </c>
      <c r="G605" s="9">
        <f t="shared" si="66"/>
        <v>-4.2199039479358727E-3</v>
      </c>
      <c r="H605" s="6">
        <f t="shared" si="67"/>
        <v>-4219.9039479358726</v>
      </c>
      <c r="I605" s="9">
        <f t="shared" si="58"/>
        <v>1.2631921228003419E-2</v>
      </c>
      <c r="J605">
        <f t="shared" si="59"/>
        <v>0</v>
      </c>
      <c r="K605" s="5">
        <f t="shared" si="60"/>
        <v>1.4797757625266656E-2</v>
      </c>
      <c r="L605">
        <f t="shared" si="61"/>
        <v>0</v>
      </c>
      <c r="M605" s="9">
        <f t="shared" si="62"/>
        <v>2.066594675207737E-2</v>
      </c>
      <c r="N605">
        <f t="shared" si="63"/>
        <v>0</v>
      </c>
      <c r="O605" s="5">
        <f t="shared" si="64"/>
        <v>2.1081188060968273E-2</v>
      </c>
      <c r="P605">
        <f t="shared" si="65"/>
        <v>0</v>
      </c>
    </row>
    <row r="606" spans="1:16" x14ac:dyDescent="0.25">
      <c r="A606" s="2">
        <f>'Historical Prices'!A604</f>
        <v>46000</v>
      </c>
      <c r="B606" s="3">
        <f>'Historical Prices'!C604/'Historical Prices'!C603-1</f>
        <v>-5.9814230992139006E-3</v>
      </c>
      <c r="C606" s="3">
        <f>'Historical Prices'!B604/'Historical Prices'!B603-1</f>
        <v>1.6485199045666032E-3</v>
      </c>
      <c r="D606" s="3">
        <f>'Historical Prices'!D604/'Historical Prices'!D603-1</f>
        <v>-1.0362728725219705E-2</v>
      </c>
      <c r="E606" s="3">
        <f>'Historical Prices'!E604/'Historical Prices'!E603-1</f>
        <v>-7.3256202145282057E-3</v>
      </c>
      <c r="F606" s="3">
        <f>'Historical Prices'!F604/'Historical Prices'!F603-1</f>
        <v>-1.2439957211178854E-2</v>
      </c>
      <c r="G606" s="9">
        <f t="shared" si="66"/>
        <v>-7.0691514595787232E-3</v>
      </c>
      <c r="H606" s="6">
        <f t="shared" si="67"/>
        <v>-7069.151459578723</v>
      </c>
      <c r="I606" s="9">
        <f t="shared" si="58"/>
        <v>1.2631921228003419E-2</v>
      </c>
      <c r="J606">
        <f t="shared" si="59"/>
        <v>0</v>
      </c>
      <c r="K606" s="5">
        <f t="shared" si="60"/>
        <v>1.4820055824581414E-2</v>
      </c>
      <c r="L606">
        <f t="shared" si="61"/>
        <v>0</v>
      </c>
      <c r="M606" s="9">
        <f t="shared" si="62"/>
        <v>2.066594675207737E-2</v>
      </c>
      <c r="N606">
        <f t="shared" si="63"/>
        <v>0</v>
      </c>
      <c r="O606" s="5">
        <f t="shared" si="64"/>
        <v>2.1085395705684951E-2</v>
      </c>
      <c r="P606">
        <f t="shared" si="65"/>
        <v>0</v>
      </c>
    </row>
    <row r="607" spans="1:16" x14ac:dyDescent="0.25">
      <c r="A607" s="2">
        <f>'Historical Prices'!A605</f>
        <v>46001</v>
      </c>
      <c r="B607" s="3">
        <f>'Historical Prices'!C605/'Historical Prices'!C604-1</f>
        <v>-7.3212182728229491E-3</v>
      </c>
      <c r="C607" s="3">
        <f>'Historical Prices'!B605/'Historical Prices'!B604-1</f>
        <v>2.1161193314747084E-3</v>
      </c>
      <c r="D607" s="3">
        <f>'Historical Prices'!D605/'Historical Prices'!D604-1</f>
        <v>-8.4351575627060749E-3</v>
      </c>
      <c r="E607" s="3">
        <f>'Historical Prices'!E605/'Historical Prices'!E604-1</f>
        <v>-8.8805127177605803E-3</v>
      </c>
      <c r="F607" s="3">
        <f>'Historical Prices'!F605/'Historical Prices'!F604-1</f>
        <v>-1.6226897281534924E-3</v>
      </c>
      <c r="G607" s="9">
        <f t="shared" si="66"/>
        <v>-5.0243400904341137E-3</v>
      </c>
      <c r="H607" s="6">
        <f t="shared" si="67"/>
        <v>-5024.3400904341133</v>
      </c>
      <c r="I607" s="9">
        <f t="shared" si="58"/>
        <v>1.2631921228003419E-2</v>
      </c>
      <c r="J607">
        <f t="shared" si="59"/>
        <v>0</v>
      </c>
      <c r="K607" s="5">
        <f t="shared" si="60"/>
        <v>1.4864759654037949E-2</v>
      </c>
      <c r="L607">
        <f t="shared" si="61"/>
        <v>0</v>
      </c>
      <c r="M607" s="9">
        <f t="shared" si="62"/>
        <v>2.066594675207737E-2</v>
      </c>
      <c r="N607">
        <f t="shared" si="63"/>
        <v>0</v>
      </c>
      <c r="O607" s="5">
        <f t="shared" si="64"/>
        <v>2.1138016918321439E-2</v>
      </c>
      <c r="P607">
        <f t="shared" si="65"/>
        <v>0</v>
      </c>
    </row>
    <row r="608" spans="1:16" x14ac:dyDescent="0.25">
      <c r="A608" s="2">
        <f>'Historical Prices'!A606</f>
        <v>46002</v>
      </c>
      <c r="B608" s="3">
        <f>'Historical Prices'!C606/'Historical Prices'!C605-1</f>
        <v>1.0608204874447358E-2</v>
      </c>
      <c r="C608" s="3">
        <f>'Historical Prices'!B606/'Historical Prices'!B605-1</f>
        <v>-4.6144648798195353E-3</v>
      </c>
      <c r="D608" s="3">
        <f>'Historical Prices'!D606/'Historical Prices'!D605-1</f>
        <v>-2.6400116130178564E-3</v>
      </c>
      <c r="E608" s="3">
        <f>'Historical Prices'!E606/'Historical Prices'!E605-1</f>
        <v>8.3291265646523449E-3</v>
      </c>
      <c r="F608" s="3">
        <f>'Historical Prices'!F606/'Historical Prices'!F605-1</f>
        <v>9.696980982891068E-3</v>
      </c>
      <c r="G608" s="9">
        <f t="shared" si="66"/>
        <v>4.1868253688891657E-3</v>
      </c>
      <c r="H608" s="6">
        <f t="shared" si="67"/>
        <v>4186.8253688891655</v>
      </c>
      <c r="I608" s="9">
        <f t="shared" si="58"/>
        <v>1.2631921228003419E-2</v>
      </c>
      <c r="J608">
        <f t="shared" si="59"/>
        <v>0</v>
      </c>
      <c r="K608" s="5">
        <f t="shared" si="60"/>
        <v>1.4871946767948634E-2</v>
      </c>
      <c r="L608">
        <f t="shared" si="61"/>
        <v>0</v>
      </c>
      <c r="M608" s="9">
        <f t="shared" si="62"/>
        <v>2.066594675207737E-2</v>
      </c>
      <c r="N608">
        <f t="shared" si="63"/>
        <v>0</v>
      </c>
      <c r="O608" s="5">
        <f t="shared" si="64"/>
        <v>2.1146584343336109E-2</v>
      </c>
      <c r="P608">
        <f t="shared" si="65"/>
        <v>0</v>
      </c>
    </row>
    <row r="609" spans="1:16" x14ac:dyDescent="0.25">
      <c r="A609" s="2">
        <f>'Historical Prices'!A607</f>
        <v>46003</v>
      </c>
      <c r="B609" s="3">
        <f>'Historical Prices'!C607/'Historical Prices'!C606-1</f>
        <v>1.1996455584211141E-3</v>
      </c>
      <c r="C609" s="3">
        <f>'Historical Prices'!B607/'Historical Prices'!B606-1</f>
        <v>1.0528874133548083E-2</v>
      </c>
      <c r="D609" s="3">
        <f>'Historical Prices'!D607/'Historical Prices'!D606-1</f>
        <v>4.4117567193275864E-3</v>
      </c>
      <c r="E609" s="3">
        <f>'Historical Prices'!E607/'Historical Prices'!E606-1</f>
        <v>1.2510205026083909E-4</v>
      </c>
      <c r="F609" s="3">
        <f>'Historical Prices'!F607/'Historical Prices'!F606-1</f>
        <v>3.9288824486718443E-3</v>
      </c>
      <c r="G609" s="9">
        <f t="shared" si="66"/>
        <v>3.9795270336437892E-3</v>
      </c>
      <c r="H609" s="6">
        <f t="shared" si="67"/>
        <v>3979.5270336437893</v>
      </c>
      <c r="I609" s="9">
        <f t="shared" si="58"/>
        <v>1.2631921228003419E-2</v>
      </c>
      <c r="J609">
        <f t="shared" si="59"/>
        <v>0</v>
      </c>
      <c r="K609" s="5">
        <f t="shared" si="60"/>
        <v>1.4870117981860106E-2</v>
      </c>
      <c r="L609">
        <f t="shared" si="61"/>
        <v>0</v>
      </c>
      <c r="M609" s="9">
        <f t="shared" si="62"/>
        <v>2.066594675207737E-2</v>
      </c>
      <c r="N609">
        <f t="shared" si="63"/>
        <v>0</v>
      </c>
      <c r="O609" s="5">
        <f t="shared" si="64"/>
        <v>2.1145888820751784E-2</v>
      </c>
      <c r="P609">
        <f t="shared" si="65"/>
        <v>0</v>
      </c>
    </row>
    <row r="610" spans="1:16" x14ac:dyDescent="0.25">
      <c r="A610" s="2">
        <f>'Historical Prices'!A608</f>
        <v>46006</v>
      </c>
      <c r="B610" s="3">
        <f>'Historical Prices'!C608/'Historical Prices'!C607-1</f>
        <v>-5.3919675759588337E-3</v>
      </c>
      <c r="C610" s="3">
        <f>'Historical Prices'!B608/'Historical Prices'!B607-1</f>
        <v>-1.010770533716121E-3</v>
      </c>
      <c r="D610" s="3">
        <f>'Historical Prices'!D608/'Historical Prices'!D607-1</f>
        <v>-5.8566850513730451E-4</v>
      </c>
      <c r="E610" s="3">
        <f>'Historical Prices'!E608/'Historical Prices'!E607-1</f>
        <v>5.3811342862997158E-3</v>
      </c>
      <c r="F610" s="3">
        <f>'Historical Prices'!F608/'Historical Prices'!F607-1</f>
        <v>-1.9458650117076703E-2</v>
      </c>
      <c r="G610" s="9">
        <f t="shared" si="66"/>
        <v>-4.2188356730527539E-3</v>
      </c>
      <c r="H610" s="6">
        <f t="shared" si="67"/>
        <v>-4218.8356730527539</v>
      </c>
      <c r="I610" s="9">
        <f t="shared" si="58"/>
        <v>1.2631921228003419E-2</v>
      </c>
      <c r="J610">
        <f t="shared" si="59"/>
        <v>0</v>
      </c>
      <c r="K610" s="5">
        <f t="shared" si="60"/>
        <v>1.4861661694563788E-2</v>
      </c>
      <c r="L610">
        <f t="shared" si="61"/>
        <v>0</v>
      </c>
      <c r="M610" s="9">
        <f t="shared" si="62"/>
        <v>2.066594675207737E-2</v>
      </c>
      <c r="N610">
        <f t="shared" si="63"/>
        <v>0</v>
      </c>
      <c r="O610" s="5">
        <f t="shared" si="64"/>
        <v>2.1139441694737349E-2</v>
      </c>
      <c r="P610">
        <f t="shared" si="65"/>
        <v>0</v>
      </c>
    </row>
    <row r="611" spans="1:16" x14ac:dyDescent="0.25">
      <c r="A611" s="2">
        <f>'Historical Prices'!A609</f>
        <v>46007</v>
      </c>
      <c r="B611" s="3">
        <f>'Historical Prices'!C609/'Historical Prices'!C608-1</f>
        <v>-1.8070246424568559E-3</v>
      </c>
      <c r="C611" s="3">
        <f>'Historical Prices'!B609/'Historical Prices'!B608-1</f>
        <v>-5.0747216094824577E-2</v>
      </c>
      <c r="D611" s="3">
        <f>'Historical Prices'!D609/'Historical Prices'!D608-1</f>
        <v>5.8601171374172978E-4</v>
      </c>
      <c r="E611" s="3">
        <f>'Historical Prices'!E609/'Historical Prices'!E608-1</f>
        <v>-8.6507387165984939E-3</v>
      </c>
      <c r="F611" s="3">
        <f>'Historical Prices'!F609/'Historical Prices'!F608-1</f>
        <v>3.6030612687256713E-3</v>
      </c>
      <c r="G611" s="9">
        <f t="shared" si="66"/>
        <v>-1.0493175350785958E-2</v>
      </c>
      <c r="H611" s="6">
        <f t="shared" si="67"/>
        <v>-10493.175350785958</v>
      </c>
      <c r="I611" s="9">
        <f t="shared" si="58"/>
        <v>1.2631921228003419E-2</v>
      </c>
      <c r="J611">
        <f t="shared" si="59"/>
        <v>0</v>
      </c>
      <c r="K611" s="5">
        <f t="shared" si="60"/>
        <v>1.4887850121264059E-2</v>
      </c>
      <c r="L611">
        <f t="shared" si="61"/>
        <v>0</v>
      </c>
      <c r="M611" s="9">
        <f t="shared" si="62"/>
        <v>2.066594675207737E-2</v>
      </c>
      <c r="N611">
        <f t="shared" si="63"/>
        <v>0</v>
      </c>
      <c r="O611" s="5">
        <f t="shared" si="64"/>
        <v>2.1168628900405766E-2</v>
      </c>
      <c r="P611">
        <f t="shared" si="65"/>
        <v>0</v>
      </c>
    </row>
    <row r="612" spans="1:16" x14ac:dyDescent="0.25">
      <c r="A612" s="2">
        <f>'Historical Prices'!A610</f>
        <v>46008</v>
      </c>
      <c r="B612" s="3">
        <f>'Historical Prices'!C610/'Historical Prices'!C609-1</f>
        <v>-1.0359015914392256E-2</v>
      </c>
      <c r="C612" s="3">
        <f>'Historical Prices'!B610/'Historical Prices'!B609-1</f>
        <v>4.1815983229533948E-3</v>
      </c>
      <c r="D612" s="3">
        <f>'Historical Prices'!D610/'Historical Prices'!D609-1</f>
        <v>-9.9560942372075578E-3</v>
      </c>
      <c r="E612" s="3">
        <f>'Historical Prices'!E610/'Historical Prices'!E609-1</f>
        <v>5.7128339509944226E-3</v>
      </c>
      <c r="F612" s="3">
        <f>'Historical Prices'!F610/'Historical Prices'!F609-1</f>
        <v>-2.2645576761133324E-3</v>
      </c>
      <c r="G612" s="9">
        <f t="shared" si="66"/>
        <v>-3.0658949406526296E-3</v>
      </c>
      <c r="H612" s="6">
        <f t="shared" si="67"/>
        <v>-3065.8949406526294</v>
      </c>
      <c r="I612" s="9">
        <f t="shared" si="58"/>
        <v>1.2631921228003419E-2</v>
      </c>
      <c r="J612">
        <f t="shared" si="59"/>
        <v>0</v>
      </c>
      <c r="K612" s="5">
        <f t="shared" si="60"/>
        <v>1.4982978891316551E-2</v>
      </c>
      <c r="L612">
        <f t="shared" si="61"/>
        <v>0</v>
      </c>
      <c r="M612" s="9">
        <f t="shared" si="62"/>
        <v>2.066594675207737E-2</v>
      </c>
      <c r="N612">
        <f t="shared" si="63"/>
        <v>0</v>
      </c>
      <c r="O612" s="5">
        <f t="shared" si="64"/>
        <v>2.1274913477838726E-2</v>
      </c>
      <c r="P612">
        <f t="shared" si="65"/>
        <v>0</v>
      </c>
    </row>
    <row r="613" spans="1:16" x14ac:dyDescent="0.25">
      <c r="A613" s="2">
        <f>'Historical Prices'!A611</f>
        <v>46009</v>
      </c>
      <c r="B613" s="3">
        <f>'Historical Prices'!C611/'Historical Prices'!C610-1</f>
        <v>-4.3699227745961355E-3</v>
      </c>
      <c r="C613" s="3">
        <f>'Historical Prices'!B611/'Historical Prices'!B610-1</f>
        <v>4.1643848734316258E-3</v>
      </c>
      <c r="D613" s="3">
        <f>'Historical Prices'!D611/'Historical Prices'!D610-1</f>
        <v>3.2535241125695169E-3</v>
      </c>
      <c r="E613" s="3">
        <f>'Historical Prices'!E611/'Historical Prices'!E610-1</f>
        <v>1.5480693681181545E-2</v>
      </c>
      <c r="F613" s="3">
        <f>'Historical Prices'!F611/'Historical Prices'!F610-1</f>
        <v>-7.2519287785601794E-3</v>
      </c>
      <c r="G613" s="9">
        <f t="shared" si="66"/>
        <v>2.0413833057460777E-3</v>
      </c>
      <c r="H613" s="6">
        <f t="shared" si="67"/>
        <v>2041.3833057460777</v>
      </c>
      <c r="I613" s="9">
        <f t="shared" si="58"/>
        <v>1.2631921228003419E-2</v>
      </c>
      <c r="J613">
        <f t="shared" si="59"/>
        <v>0</v>
      </c>
      <c r="K613" s="5">
        <f t="shared" si="60"/>
        <v>1.4991041513319649E-2</v>
      </c>
      <c r="L613">
        <f t="shared" si="61"/>
        <v>0</v>
      </c>
      <c r="M613" s="9">
        <f t="shared" si="62"/>
        <v>2.066594675207737E-2</v>
      </c>
      <c r="N613">
        <f t="shared" si="63"/>
        <v>0</v>
      </c>
      <c r="O613" s="5">
        <f t="shared" si="64"/>
        <v>2.1284029871643271E-2</v>
      </c>
      <c r="P613">
        <f t="shared" si="65"/>
        <v>0</v>
      </c>
    </row>
    <row r="614" spans="1:16" x14ac:dyDescent="0.25">
      <c r="A614" s="2">
        <f>'Historical Prices'!A612</f>
        <v>46010</v>
      </c>
      <c r="B614" s="3">
        <f>'Historical Prices'!C612/'Historical Prices'!C611-1</f>
        <v>5.9201748826791523E-3</v>
      </c>
      <c r="C614" s="3">
        <f>'Historical Prices'!B612/'Historical Prices'!B611-1</f>
        <v>6.5045767465554682E-4</v>
      </c>
      <c r="D614" s="3">
        <f>'Historical Prices'!D612/'Historical Prices'!D611-1</f>
        <v>-1.9900226683299271E-3</v>
      </c>
      <c r="E614" s="3">
        <f>'Historical Prices'!E612/'Historical Prices'!E611-1</f>
        <v>7.3148993688669783E-3</v>
      </c>
      <c r="F614" s="3">
        <f>'Historical Prices'!F612/'Historical Prices'!F611-1</f>
        <v>4.7398401559275438E-3</v>
      </c>
      <c r="G614" s="9">
        <f t="shared" si="66"/>
        <v>3.1744963960710576E-3</v>
      </c>
      <c r="H614" s="6">
        <f t="shared" si="67"/>
        <v>3174.4963960710575</v>
      </c>
      <c r="I614" s="9">
        <f t="shared" si="58"/>
        <v>1.2631921228003419E-2</v>
      </c>
      <c r="J614">
        <f t="shared" si="59"/>
        <v>0</v>
      </c>
      <c r="K614" s="5">
        <f t="shared" si="60"/>
        <v>1.4894010599122924E-2</v>
      </c>
      <c r="L614">
        <f t="shared" si="61"/>
        <v>0</v>
      </c>
      <c r="M614" s="9">
        <f t="shared" si="62"/>
        <v>2.066594675207737E-2</v>
      </c>
      <c r="N614">
        <f t="shared" si="63"/>
        <v>0</v>
      </c>
      <c r="O614" s="5">
        <f t="shared" si="64"/>
        <v>2.1168536998840692E-2</v>
      </c>
      <c r="P614">
        <f t="shared" si="65"/>
        <v>0</v>
      </c>
    </row>
    <row r="615" spans="1:16" x14ac:dyDescent="0.25">
      <c r="A615" s="2">
        <f>'Historical Prices'!A613</f>
        <v>46013</v>
      </c>
      <c r="B615" s="3">
        <f>'Historical Prices'!C613/'Historical Prices'!C612-1</f>
        <v>2.2324109887581489E-3</v>
      </c>
      <c r="C615" s="3">
        <f>'Historical Prices'!B613/'Historical Prices'!B612-1</f>
        <v>2.112811821659788E-3</v>
      </c>
      <c r="D615" s="3">
        <f>'Historical Prices'!D613/'Historical Prices'!D612-1</f>
        <v>1.0634405240484535E-2</v>
      </c>
      <c r="E615" s="3">
        <f>'Historical Prices'!E613/'Historical Prices'!E612-1</f>
        <v>3.1061216565646976E-2</v>
      </c>
      <c r="F615" s="3">
        <f>'Historical Prices'!F613/'Historical Prices'!F612-1</f>
        <v>3.6351871105748668E-3</v>
      </c>
      <c r="G615" s="9">
        <f t="shared" si="66"/>
        <v>9.7079044960428316E-3</v>
      </c>
      <c r="H615" s="6">
        <f t="shared" si="67"/>
        <v>9707.9044960428309</v>
      </c>
      <c r="I615" s="9">
        <f t="shared" si="58"/>
        <v>1.2631921228003419E-2</v>
      </c>
      <c r="J615">
        <f t="shared" si="59"/>
        <v>0</v>
      </c>
      <c r="K615" s="5">
        <f t="shared" si="60"/>
        <v>1.4834015620894531E-2</v>
      </c>
      <c r="L615">
        <f t="shared" si="61"/>
        <v>0</v>
      </c>
      <c r="M615" s="9">
        <f t="shared" si="62"/>
        <v>2.066594675207737E-2</v>
      </c>
      <c r="N615">
        <f t="shared" si="63"/>
        <v>0</v>
      </c>
      <c r="O615" s="5">
        <f t="shared" si="64"/>
        <v>2.1101139806187354E-2</v>
      </c>
      <c r="P615">
        <f t="shared" si="65"/>
        <v>0</v>
      </c>
    </row>
    <row r="616" spans="1:16" x14ac:dyDescent="0.25">
      <c r="A616" s="2">
        <f>'Historical Prices'!A614</f>
        <v>46014</v>
      </c>
      <c r="B616" s="3">
        <f>'Historical Prices'!C614/'Historical Prices'!C613-1</f>
        <v>9.0107639317922317E-3</v>
      </c>
      <c r="C616" s="3">
        <f>'Historical Prices'!B614/'Historical Prices'!B613-1</f>
        <v>-6.6493048899755047E-3</v>
      </c>
      <c r="D616" s="3">
        <f>'Historical Prices'!D614/'Historical Prices'!D613-1</f>
        <v>-4.0190590472455323E-3</v>
      </c>
      <c r="E616" s="3">
        <f>'Historical Prices'!E614/'Historical Prices'!E613-1</f>
        <v>-1.2606480409848131E-2</v>
      </c>
      <c r="F616" s="3">
        <f>'Historical Prices'!F614/'Historical Prices'!F613-1</f>
        <v>2.3226387358843414E-3</v>
      </c>
      <c r="G616" s="9">
        <f t="shared" si="66"/>
        <v>-2.1185143857211501E-3</v>
      </c>
      <c r="H616" s="6">
        <f t="shared" si="67"/>
        <v>-2118.5143857211501</v>
      </c>
      <c r="I616" s="9">
        <f t="shared" si="58"/>
        <v>1.2097122754678759E-2</v>
      </c>
      <c r="J616">
        <f t="shared" si="59"/>
        <v>0</v>
      </c>
      <c r="K616" s="5">
        <f t="shared" si="60"/>
        <v>1.4692465550193361E-2</v>
      </c>
      <c r="L616">
        <f t="shared" si="61"/>
        <v>0</v>
      </c>
      <c r="M616" s="9">
        <f t="shared" si="62"/>
        <v>2.066594675207737E-2</v>
      </c>
      <c r="N616">
        <f t="shared" si="63"/>
        <v>0</v>
      </c>
      <c r="O616" s="5">
        <f t="shared" si="64"/>
        <v>2.0940728794304031E-2</v>
      </c>
      <c r="P616">
        <f t="shared" si="65"/>
        <v>0</v>
      </c>
    </row>
    <row r="617" spans="1:16" x14ac:dyDescent="0.25">
      <c r="A617" s="2">
        <f>'Historical Prices'!A615</f>
        <v>46015</v>
      </c>
      <c r="B617" s="3">
        <f>'Historical Prices'!C615/'Historical Prices'!C614-1</f>
        <v>6.0208084269164353E-4</v>
      </c>
      <c r="C617" s="3">
        <f>'Historical Prices'!B615/'Historical Prices'!B614-1</f>
        <v>1.0611852424939894E-3</v>
      </c>
      <c r="D617" s="3">
        <f>'Historical Prices'!D615/'Historical Prices'!D614-1</f>
        <v>-2.3476497762444648E-3</v>
      </c>
      <c r="E617" s="3">
        <f>'Historical Prices'!E615/'Historical Prices'!E614-1</f>
        <v>-2.9371531748818569E-3</v>
      </c>
      <c r="F617" s="3">
        <f>'Historical Prices'!F615/'Historical Prices'!F614-1</f>
        <v>3.1998557244063974E-3</v>
      </c>
      <c r="G617" s="9">
        <f t="shared" si="66"/>
        <v>-1.3673205790316759E-4</v>
      </c>
      <c r="H617" s="6">
        <f t="shared" si="67"/>
        <v>-136.7320579031676</v>
      </c>
      <c r="I617" s="9">
        <f t="shared" si="58"/>
        <v>1.1982842214232677E-2</v>
      </c>
      <c r="J617">
        <f t="shared" si="59"/>
        <v>0</v>
      </c>
      <c r="K617" s="5">
        <f t="shared" si="60"/>
        <v>1.4514070897143386E-2</v>
      </c>
      <c r="L617">
        <f t="shared" si="61"/>
        <v>0</v>
      </c>
      <c r="M617" s="9">
        <f t="shared" si="62"/>
        <v>2.066594675207737E-2</v>
      </c>
      <c r="N617">
        <f t="shared" si="63"/>
        <v>0</v>
      </c>
      <c r="O617" s="5">
        <f t="shared" si="64"/>
        <v>2.0714212325414122E-2</v>
      </c>
      <c r="P617">
        <f t="shared" si="65"/>
        <v>0</v>
      </c>
    </row>
    <row r="618" spans="1:16" x14ac:dyDescent="0.25">
      <c r="A618" s="2">
        <f>'Historical Prices'!A616</f>
        <v>46017</v>
      </c>
      <c r="B618" s="3">
        <f>'Historical Prices'!C616/'Historical Prices'!C615-1</f>
        <v>-5.1143277706772183E-3</v>
      </c>
      <c r="C618" s="3">
        <f>'Historical Prices'!B616/'Historical Prices'!B615-1</f>
        <v>1.5492959430203346E-3</v>
      </c>
      <c r="D618" s="3">
        <f>'Historical Prices'!D616/'Historical Prices'!D615-1</f>
        <v>-6.9128679177097307E-3</v>
      </c>
      <c r="E618" s="3">
        <f>'Historical Prices'!E616/'Historical Prices'!E615-1</f>
        <v>-4.388606103427839E-3</v>
      </c>
      <c r="F618" s="3">
        <f>'Historical Prices'!F616/'Historical Prices'!F615-1</f>
        <v>-3.7396075562513564E-3</v>
      </c>
      <c r="G618" s="9">
        <f t="shared" si="66"/>
        <v>-3.8980290523052078E-3</v>
      </c>
      <c r="H618" s="6">
        <f t="shared" si="67"/>
        <v>-3898.0290523052076</v>
      </c>
      <c r="I618" s="9">
        <f t="shared" si="58"/>
        <v>1.1982842214232677E-2</v>
      </c>
      <c r="J618">
        <f t="shared" si="59"/>
        <v>0</v>
      </c>
      <c r="K618" s="5">
        <f t="shared" si="60"/>
        <v>1.4527317326048188E-2</v>
      </c>
      <c r="L618">
        <f t="shared" si="61"/>
        <v>0</v>
      </c>
      <c r="M618" s="9">
        <f t="shared" si="62"/>
        <v>2.066594675207737E-2</v>
      </c>
      <c r="N618">
        <f t="shared" si="63"/>
        <v>0</v>
      </c>
      <c r="O618" s="5">
        <f t="shared" si="64"/>
        <v>2.072170071761888E-2</v>
      </c>
      <c r="P618">
        <f t="shared" si="65"/>
        <v>0</v>
      </c>
    </row>
    <row r="619" spans="1:16" x14ac:dyDescent="0.25">
      <c r="A619" s="2">
        <f>'Historical Prices'!A617</f>
        <v>46020</v>
      </c>
      <c r="B619" s="3">
        <f>'Historical Prices'!C617/'Historical Prices'!C616-1</f>
        <v>-4.0318699715369277E-4</v>
      </c>
      <c r="C619" s="3">
        <f>'Historical Prices'!B617/'Historical Prices'!B616-1</f>
        <v>3.0939976088311116E-3</v>
      </c>
      <c r="D619" s="3">
        <f>'Historical Prices'!D617/'Historical Prices'!D616-1</f>
        <v>-5.2576145438183453E-3</v>
      </c>
      <c r="E619" s="3">
        <f>'Historical Prices'!E617/'Historical Prices'!E616-1</f>
        <v>-6.8836627040664844E-3</v>
      </c>
      <c r="F619" s="3">
        <f>'Historical Prices'!F617/'Historical Prices'!F616-1</f>
        <v>-8.5561800281397371E-3</v>
      </c>
      <c r="G619" s="9">
        <f t="shared" si="66"/>
        <v>-3.6332753832454623E-3</v>
      </c>
      <c r="H619" s="6">
        <f t="shared" si="67"/>
        <v>-3633.2753832454623</v>
      </c>
      <c r="I619" s="9">
        <f t="shared" si="58"/>
        <v>1.1982842214232677E-2</v>
      </c>
      <c r="J619">
        <f t="shared" si="59"/>
        <v>0</v>
      </c>
      <c r="K619" s="5">
        <f t="shared" si="60"/>
        <v>1.4547481433662595E-2</v>
      </c>
      <c r="L619">
        <f t="shared" si="61"/>
        <v>0</v>
      </c>
      <c r="M619" s="9">
        <f t="shared" si="62"/>
        <v>2.066594675207737E-2</v>
      </c>
      <c r="N619">
        <f t="shared" si="63"/>
        <v>0</v>
      </c>
      <c r="O619" s="5">
        <f t="shared" si="64"/>
        <v>2.0744547160085312E-2</v>
      </c>
      <c r="P619">
        <f t="shared" si="65"/>
        <v>0</v>
      </c>
    </row>
    <row r="620" spans="1:16" x14ac:dyDescent="0.25">
      <c r="A620" s="2">
        <f>'Historical Prices'!A618</f>
        <v>46021</v>
      </c>
      <c r="B620" s="3">
        <f>'Historical Prices'!C618/'Historical Prices'!C617-1</f>
        <v>-8.0663668102887165E-4</v>
      </c>
      <c r="C620" s="3">
        <f>'Historical Prices'!B618/'Historical Prices'!B617-1</f>
        <v>1.1363674675247903E-2</v>
      </c>
      <c r="D620" s="3">
        <f>'Historical Prices'!D618/'Historical Prices'!D617-1</f>
        <v>-5.9565712802722715E-4</v>
      </c>
      <c r="E620" s="3">
        <f>'Historical Prices'!E618/'Historical Prices'!E617-1</f>
        <v>-1.4045114642839529E-2</v>
      </c>
      <c r="F620" s="3">
        <f>'Historical Prices'!F618/'Historical Prices'!F617-1</f>
        <v>1.8986099016801594E-2</v>
      </c>
      <c r="G620" s="9">
        <f t="shared" si="66"/>
        <v>2.8643646787439481E-3</v>
      </c>
      <c r="H620" s="6">
        <f t="shared" si="67"/>
        <v>2864.3646787439479</v>
      </c>
      <c r="I620" s="9">
        <f t="shared" si="58"/>
        <v>1.1982842214232677E-2</v>
      </c>
      <c r="J620">
        <f t="shared" si="59"/>
        <v>0</v>
      </c>
      <c r="K620" s="5">
        <f t="shared" si="60"/>
        <v>1.4574153094365485E-2</v>
      </c>
      <c r="L620">
        <f t="shared" si="61"/>
        <v>0</v>
      </c>
      <c r="M620" s="9">
        <f t="shared" si="62"/>
        <v>2.066594675207737E-2</v>
      </c>
      <c r="N620">
        <f t="shared" si="63"/>
        <v>0</v>
      </c>
      <c r="O620" s="5">
        <f t="shared" si="64"/>
        <v>2.0773404410155568E-2</v>
      </c>
      <c r="P620">
        <f t="shared" si="65"/>
        <v>0</v>
      </c>
    </row>
    <row r="621" spans="1:16" x14ac:dyDescent="0.25">
      <c r="A621" s="2">
        <f>'Historical Prices'!A619</f>
        <v>46022</v>
      </c>
      <c r="B621" s="3">
        <f>'Historical Prices'!C619/'Historical Prices'!C618-1</f>
        <v>3.0274077769254504E-4</v>
      </c>
      <c r="C621" s="3">
        <f>'Historical Prices'!B619/'Historical Prices'!B618-1</f>
        <v>1.8780088880034684E-2</v>
      </c>
      <c r="D621" s="3">
        <f>'Historical Prices'!D619/'Historical Prices'!D618-1</f>
        <v>2.9800607345542574E-4</v>
      </c>
      <c r="E621" s="3">
        <f>'Historical Prices'!E619/'Historical Prices'!E618-1</f>
        <v>-3.8233377106046129E-3</v>
      </c>
      <c r="F621" s="3">
        <f>'Historical Prices'!F619/'Historical Prices'!F618-1</f>
        <v>1.3359501633137372E-2</v>
      </c>
      <c r="G621" s="9">
        <f t="shared" si="66"/>
        <v>5.4650416408904903E-3</v>
      </c>
      <c r="H621" s="6">
        <f t="shared" si="67"/>
        <v>5465.0416408904903</v>
      </c>
      <c r="I621" s="9">
        <f t="shared" si="58"/>
        <v>1.1982842214232677E-2</v>
      </c>
      <c r="J621">
        <f t="shared" si="59"/>
        <v>0</v>
      </c>
      <c r="K621" s="5">
        <f t="shared" si="60"/>
        <v>1.4574982999858561E-2</v>
      </c>
      <c r="L621">
        <f t="shared" si="61"/>
        <v>0</v>
      </c>
      <c r="M621" s="9">
        <f t="shared" si="62"/>
        <v>2.066594675207737E-2</v>
      </c>
      <c r="N621">
        <f t="shared" si="63"/>
        <v>0</v>
      </c>
      <c r="O621" s="5">
        <f t="shared" si="64"/>
        <v>2.0765250937698602E-2</v>
      </c>
      <c r="P621">
        <f t="shared" si="65"/>
        <v>0</v>
      </c>
    </row>
    <row r="622" spans="1:16" x14ac:dyDescent="0.25">
      <c r="A622" s="2">
        <f>'Historical Prices'!A620</f>
        <v>46023</v>
      </c>
      <c r="B622" s="3">
        <f>'Historical Prices'!C620/'Historical Prices'!C619-1</f>
        <v>-5.0451958155672827E-5</v>
      </c>
      <c r="C622" s="3">
        <f>'Historical Prices'!B620/'Historical Prices'!B619-1</f>
        <v>3.9389231608273345E-3</v>
      </c>
      <c r="D622" s="3">
        <f>'Historical Prices'!D620/'Historical Prices'!D619-1</f>
        <v>-3.6487993291449694E-3</v>
      </c>
      <c r="E622" s="3">
        <f>'Historical Prices'!E620/'Historical Prices'!E619-1</f>
        <v>8.9141863842072677E-3</v>
      </c>
      <c r="F622" s="3">
        <f>'Historical Prices'!F620/'Historical Prices'!F619-1</f>
        <v>1.3965287512937241E-2</v>
      </c>
      <c r="G622" s="9">
        <f t="shared" si="66"/>
        <v>4.2199297910249182E-3</v>
      </c>
      <c r="H622" s="6">
        <f t="shared" si="67"/>
        <v>4219.9297910249179</v>
      </c>
      <c r="I622" s="9">
        <f t="shared" si="58"/>
        <v>1.1982842214232677E-2</v>
      </c>
      <c r="J622">
        <f t="shared" si="59"/>
        <v>0</v>
      </c>
      <c r="K622" s="5">
        <f t="shared" si="60"/>
        <v>1.4484355321185846E-2</v>
      </c>
      <c r="L622">
        <f t="shared" si="61"/>
        <v>0</v>
      </c>
      <c r="M622" s="9">
        <f t="shared" si="62"/>
        <v>2.066594675207737E-2</v>
      </c>
      <c r="N622">
        <f t="shared" si="63"/>
        <v>0</v>
      </c>
      <c r="O622" s="5">
        <f t="shared" si="64"/>
        <v>2.0662528410102562E-2</v>
      </c>
      <c r="P622">
        <f t="shared" si="65"/>
        <v>0</v>
      </c>
    </row>
    <row r="623" spans="1:16" x14ac:dyDescent="0.25">
      <c r="A623" s="2">
        <f>'Historical Prices'!A621</f>
        <v>46024</v>
      </c>
      <c r="B623" s="3">
        <f>'Historical Prices'!C621/'Historical Prices'!C620-1</f>
        <v>1.0543238508079034E-2</v>
      </c>
      <c r="C623" s="3">
        <f>'Historical Prices'!B621/'Historical Prices'!B620-1</f>
        <v>-5.8851554471690548E-3</v>
      </c>
      <c r="D623" s="3">
        <f>'Historical Prices'!D621/'Historical Prices'!D620-1</f>
        <v>1.300446957627166E-2</v>
      </c>
      <c r="E623" s="3">
        <f>'Historical Prices'!E621/'Historical Prices'!E620-1</f>
        <v>6.503869946475227E-3</v>
      </c>
      <c r="F623" s="3">
        <f>'Historical Prices'!F621/'Historical Prices'!F620-1</f>
        <v>1.1007702807504627E-2</v>
      </c>
      <c r="G623" s="9">
        <f t="shared" si="66"/>
        <v>7.4238280651534334E-3</v>
      </c>
      <c r="H623" s="6">
        <f t="shared" si="67"/>
        <v>7423.8280651534333</v>
      </c>
      <c r="I623" s="9">
        <f t="shared" si="58"/>
        <v>1.1982842214232677E-2</v>
      </c>
      <c r="J623">
        <f t="shared" si="59"/>
        <v>0</v>
      </c>
      <c r="K623" s="5">
        <f t="shared" si="60"/>
        <v>1.4433205609022559E-2</v>
      </c>
      <c r="L623">
        <f t="shared" si="61"/>
        <v>0</v>
      </c>
      <c r="M623" s="9">
        <f t="shared" si="62"/>
        <v>2.066594675207737E-2</v>
      </c>
      <c r="N623">
        <f t="shared" si="63"/>
        <v>0</v>
      </c>
      <c r="O623" s="5">
        <f t="shared" si="64"/>
        <v>2.0607181458227E-2</v>
      </c>
      <c r="P623">
        <f t="shared" si="65"/>
        <v>0</v>
      </c>
    </row>
    <row r="624" spans="1:16" x14ac:dyDescent="0.25">
      <c r="A624" s="2">
        <f>'Historical Prices'!A622</f>
        <v>46027</v>
      </c>
      <c r="B624" s="3">
        <f>'Historical Prices'!C622/'Historical Prices'!C621-1</f>
        <v>-2.406144154441614E-2</v>
      </c>
      <c r="C624" s="3">
        <f>'Historical Prices'!B622/'Historical Prices'!B621-1</f>
        <v>1.4918354049733074E-2</v>
      </c>
      <c r="D624" s="3">
        <f>'Historical Prices'!D622/'Historical Prices'!D621-1</f>
        <v>1.1878358805123668E-2</v>
      </c>
      <c r="E624" s="3">
        <f>'Historical Prices'!E622/'Historical Prices'!E621-1</f>
        <v>-2.0726690484367039E-2</v>
      </c>
      <c r="F624" s="3">
        <f>'Historical Prices'!F622/'Historical Prices'!F621-1</f>
        <v>-3.1821658568513822E-3</v>
      </c>
      <c r="G624" s="9">
        <f t="shared" si="66"/>
        <v>-4.0405261588668043E-3</v>
      </c>
      <c r="H624" s="6">
        <f t="shared" si="67"/>
        <v>-4040.5261588668041</v>
      </c>
      <c r="I624" s="9">
        <f t="shared" si="58"/>
        <v>1.1982842214232677E-2</v>
      </c>
      <c r="J624">
        <f t="shared" si="59"/>
        <v>0</v>
      </c>
      <c r="K624" s="5">
        <f t="shared" si="60"/>
        <v>1.4432734764325168E-2</v>
      </c>
      <c r="L624">
        <f t="shared" si="61"/>
        <v>0</v>
      </c>
      <c r="M624" s="9">
        <f t="shared" si="62"/>
        <v>2.066594675207737E-2</v>
      </c>
      <c r="N624">
        <f t="shared" si="63"/>
        <v>0</v>
      </c>
      <c r="O624" s="5">
        <f t="shared" si="64"/>
        <v>2.0605872787471113E-2</v>
      </c>
      <c r="P624">
        <f t="shared" si="65"/>
        <v>0</v>
      </c>
    </row>
    <row r="625" spans="1:16" x14ac:dyDescent="0.25">
      <c r="A625" s="2">
        <f>'Historical Prices'!A623</f>
        <v>46028</v>
      </c>
      <c r="B625" s="3">
        <f>'Historical Prices'!C623/'Historical Prices'!C622-1</f>
        <v>-1.5652197094406572E-2</v>
      </c>
      <c r="C625" s="3">
        <f>'Historical Prices'!B623/'Historical Prices'!B622-1</f>
        <v>6.2217599224414499E-3</v>
      </c>
      <c r="D625" s="3">
        <f>'Historical Prices'!D623/'Historical Prices'!D622-1</f>
        <v>2.8946362216597965E-2</v>
      </c>
      <c r="E625" s="3">
        <f>'Historical Prices'!E623/'Historical Prices'!E622-1</f>
        <v>3.6105413180169688E-3</v>
      </c>
      <c r="F625" s="3">
        <f>'Historical Prices'!F623/'Historical Prices'!F622-1</f>
        <v>-1.2399986019017151E-3</v>
      </c>
      <c r="G625" s="9">
        <f t="shared" si="66"/>
        <v>4.8785179313471797E-3</v>
      </c>
      <c r="H625" s="6">
        <f t="shared" si="67"/>
        <v>4878.5179313471799</v>
      </c>
      <c r="I625" s="9">
        <f t="shared" si="58"/>
        <v>1.1982842214232677E-2</v>
      </c>
      <c r="J625">
        <f t="shared" si="59"/>
        <v>0</v>
      </c>
      <c r="K625" s="5">
        <f t="shared" si="60"/>
        <v>1.4390051910629982E-2</v>
      </c>
      <c r="L625">
        <f t="shared" si="61"/>
        <v>0</v>
      </c>
      <c r="M625" s="9">
        <f t="shared" si="62"/>
        <v>2.066594675207737E-2</v>
      </c>
      <c r="N625">
        <f t="shared" si="63"/>
        <v>0</v>
      </c>
      <c r="O625" s="5">
        <f t="shared" si="64"/>
        <v>2.0504777964274603E-2</v>
      </c>
      <c r="P625">
        <f t="shared" si="65"/>
        <v>0</v>
      </c>
    </row>
    <row r="626" spans="1:16" x14ac:dyDescent="0.25">
      <c r="A626" s="2">
        <f>'Historical Prices'!A624</f>
        <v>46029</v>
      </c>
      <c r="B626" s="3">
        <f>'Historical Prices'!C624/'Historical Prices'!C623-1</f>
        <v>-1.3666586966833316E-2</v>
      </c>
      <c r="C626" s="3">
        <f>'Historical Prices'!B624/'Historical Prices'!B623-1</f>
        <v>1.3139902189120978E-3</v>
      </c>
      <c r="D626" s="3">
        <f>'Historical Prices'!D624/'Historical Prices'!D623-1</f>
        <v>1.1692178484063565E-2</v>
      </c>
      <c r="E626" s="3">
        <f>'Historical Prices'!E624/'Historical Prices'!E623-1</f>
        <v>1.6623294968570956E-2</v>
      </c>
      <c r="F626" s="3">
        <f>'Historical Prices'!F624/'Historical Prices'!F623-1</f>
        <v>-9.7210915368952655E-3</v>
      </c>
      <c r="G626" s="9">
        <f t="shared" si="66"/>
        <v>1.2176976184833457E-3</v>
      </c>
      <c r="H626" s="6">
        <f t="shared" si="67"/>
        <v>1217.6976184833457</v>
      </c>
      <c r="I626" s="9">
        <f t="shared" si="58"/>
        <v>1.1782744160376201E-2</v>
      </c>
      <c r="J626">
        <f t="shared" si="59"/>
        <v>0</v>
      </c>
      <c r="K626" s="5">
        <f t="shared" si="60"/>
        <v>1.4258755074375719E-2</v>
      </c>
      <c r="L626">
        <f t="shared" si="61"/>
        <v>0</v>
      </c>
      <c r="M626" s="9">
        <f t="shared" si="62"/>
        <v>2.066594675207737E-2</v>
      </c>
      <c r="N626">
        <f t="shared" si="63"/>
        <v>0</v>
      </c>
      <c r="O626" s="5">
        <f t="shared" si="64"/>
        <v>2.0348818208398903E-2</v>
      </c>
      <c r="P626">
        <f t="shared" si="65"/>
        <v>0</v>
      </c>
    </row>
    <row r="627" spans="1:16" x14ac:dyDescent="0.25">
      <c r="A627" s="2">
        <f>'Historical Prices'!A625</f>
        <v>46030</v>
      </c>
      <c r="B627" s="3">
        <f>'Historical Prices'!C625/'Historical Prices'!C624-1</f>
        <v>-2.476163429401379E-3</v>
      </c>
      <c r="C627" s="3">
        <f>'Historical Prices'!B625/'Historical Prices'!B624-1</f>
        <v>-6.7156028568092774E-3</v>
      </c>
      <c r="D627" s="3">
        <f>'Historical Prices'!D625/'Historical Prices'!D624-1</f>
        <v>5.1132351854525915E-3</v>
      </c>
      <c r="E627" s="3">
        <f>'Historical Prices'!E625/'Historical Prices'!E624-1</f>
        <v>-1.5680287852267827E-2</v>
      </c>
      <c r="F627" s="3">
        <f>'Historical Prices'!F625/'Historical Prices'!F624-1</f>
        <v>-6.6154414439161258E-3</v>
      </c>
      <c r="G627" s="9">
        <f t="shared" si="66"/>
        <v>-4.7573440714091201E-3</v>
      </c>
      <c r="H627" s="6">
        <f t="shared" si="67"/>
        <v>-4757.3440714091203</v>
      </c>
      <c r="I627" s="9">
        <f t="shared" si="58"/>
        <v>1.1601618094575876E-2</v>
      </c>
      <c r="J627">
        <f t="shared" si="59"/>
        <v>0</v>
      </c>
      <c r="K627" s="5">
        <f t="shared" si="60"/>
        <v>1.4124929181840952E-2</v>
      </c>
      <c r="L627">
        <f t="shared" si="61"/>
        <v>0</v>
      </c>
      <c r="M627" s="9">
        <f t="shared" si="62"/>
        <v>2.066594675207737E-2</v>
      </c>
      <c r="N627">
        <f t="shared" si="63"/>
        <v>0</v>
      </c>
      <c r="O627" s="5">
        <f t="shared" si="64"/>
        <v>2.018426403151858E-2</v>
      </c>
      <c r="P627">
        <f t="shared" si="65"/>
        <v>0</v>
      </c>
    </row>
    <row r="628" spans="1:16" x14ac:dyDescent="0.25">
      <c r="A628" s="2">
        <f>'Historical Prices'!A626</f>
        <v>46031</v>
      </c>
      <c r="B628" s="3">
        <f>'Historical Prices'!C626/'Historical Prices'!C625-1</f>
        <v>-8.133504186030871E-3</v>
      </c>
      <c r="C628" s="3">
        <f>'Historical Prices'!B626/'Historical Prices'!B625-1</f>
        <v>-1.1501382941900062E-2</v>
      </c>
      <c r="D628" s="3">
        <f>'Historical Prices'!D626/'Historical Prices'!D625-1</f>
        <v>-2.1393735946506731E-2</v>
      </c>
      <c r="E628" s="3">
        <f>'Historical Prices'!E626/'Historical Prices'!E625-1</f>
        <v>4.9581709404811214E-4</v>
      </c>
      <c r="F628" s="3">
        <f>'Historical Prices'!F626/'Historical Prices'!F625-1</f>
        <v>-1.2540258406368632E-2</v>
      </c>
      <c r="G628" s="9">
        <f t="shared" si="66"/>
        <v>-1.1038980726481729E-2</v>
      </c>
      <c r="H628" s="6">
        <f t="shared" si="67"/>
        <v>-11038.98072648173</v>
      </c>
      <c r="I628" s="9">
        <f t="shared" si="58"/>
        <v>1.1601618094575876E-2</v>
      </c>
      <c r="J628">
        <f t="shared" si="59"/>
        <v>0</v>
      </c>
      <c r="K628" s="5">
        <f t="shared" si="60"/>
        <v>1.416447287065079E-2</v>
      </c>
      <c r="L628">
        <f t="shared" si="61"/>
        <v>0</v>
      </c>
      <c r="M628" s="9">
        <f t="shared" si="62"/>
        <v>2.066594675207737E-2</v>
      </c>
      <c r="N628">
        <f t="shared" si="63"/>
        <v>0</v>
      </c>
      <c r="O628" s="5">
        <f t="shared" si="64"/>
        <v>2.0226787050325074E-2</v>
      </c>
      <c r="P628">
        <f t="shared" si="65"/>
        <v>0</v>
      </c>
    </row>
    <row r="629" spans="1:16" x14ac:dyDescent="0.25">
      <c r="A629" s="2">
        <f>'Historical Prices'!A627</f>
        <v>46034</v>
      </c>
      <c r="B629" s="3">
        <f>'Historical Prices'!C627/'Historical Prices'!C626-1</f>
        <v>-2.1831917297068237E-3</v>
      </c>
      <c r="C629" s="3">
        <f>'Historical Prices'!B627/'Historical Prices'!B626-1</f>
        <v>1.729510610347873E-3</v>
      </c>
      <c r="D629" s="3">
        <f>'Historical Prices'!D627/'Historical Prices'!D626-1</f>
        <v>6.2663856438529564E-3</v>
      </c>
      <c r="E629" s="3">
        <f>'Historical Prices'!E627/'Historical Prices'!E626-1</f>
        <v>-1.1275601044485883E-2</v>
      </c>
      <c r="F629" s="3">
        <f>'Historical Prices'!F627/'Historical Prices'!F626-1</f>
        <v>1.2781026090105119E-3</v>
      </c>
      <c r="G629" s="9">
        <f t="shared" si="66"/>
        <v>-5.4228260080222681E-4</v>
      </c>
      <c r="H629" s="6">
        <f t="shared" si="67"/>
        <v>-542.28260080222685</v>
      </c>
      <c r="I629" s="9">
        <f t="shared" si="58"/>
        <v>1.1601618094575876E-2</v>
      </c>
      <c r="J629">
        <f t="shared" si="59"/>
        <v>0</v>
      </c>
      <c r="K629" s="5">
        <f t="shared" si="60"/>
        <v>1.4226445381171363E-2</v>
      </c>
      <c r="L629">
        <f t="shared" si="61"/>
        <v>0</v>
      </c>
      <c r="M629" s="9">
        <f t="shared" si="62"/>
        <v>2.066594675207737E-2</v>
      </c>
      <c r="N629">
        <f t="shared" si="63"/>
        <v>0</v>
      </c>
      <c r="O629" s="5">
        <f t="shared" si="64"/>
        <v>2.0304456585992333E-2</v>
      </c>
      <c r="P629">
        <f t="shared" si="65"/>
        <v>0</v>
      </c>
    </row>
    <row r="630" spans="1:16" x14ac:dyDescent="0.25">
      <c r="A630" s="2">
        <f>'Historical Prices'!A628</f>
        <v>46035</v>
      </c>
      <c r="B630" s="3">
        <f>'Historical Prices'!C628/'Historical Prices'!C627-1</f>
        <v>4.2691906476721719E-4</v>
      </c>
      <c r="C630" s="3">
        <f>'Historical Prices'!B628/'Historical Prices'!B627-1</f>
        <v>-9.5745988428607154E-3</v>
      </c>
      <c r="D630" s="3">
        <f>'Historical Prices'!D628/'Historical Prices'!D627-1</f>
        <v>1.6913257541506743E-2</v>
      </c>
      <c r="E630" s="3">
        <f>'Historical Prices'!E628/'Historical Prices'!E627-1</f>
        <v>1.9424539138994668E-3</v>
      </c>
      <c r="F630" s="3">
        <f>'Historical Prices'!F628/'Historical Prices'!F627-1</f>
        <v>-5.5676681804842643E-3</v>
      </c>
      <c r="G630" s="9">
        <f t="shared" si="66"/>
        <v>1.466903597848671E-3</v>
      </c>
      <c r="H630" s="6">
        <f t="shared" si="67"/>
        <v>1466.9035978486711</v>
      </c>
      <c r="I630" s="9">
        <f t="shared" si="58"/>
        <v>1.1601618094575876E-2</v>
      </c>
      <c r="J630">
        <f t="shared" si="59"/>
        <v>0</v>
      </c>
      <c r="K630" s="5">
        <f t="shared" si="60"/>
        <v>1.4199700934598799E-2</v>
      </c>
      <c r="L630">
        <f t="shared" si="61"/>
        <v>0</v>
      </c>
      <c r="M630" s="9">
        <f t="shared" si="62"/>
        <v>2.066594675207737E-2</v>
      </c>
      <c r="N630">
        <f t="shared" si="63"/>
        <v>0</v>
      </c>
      <c r="O630" s="5">
        <f t="shared" si="64"/>
        <v>2.0273658497286528E-2</v>
      </c>
      <c r="P630">
        <f t="shared" si="65"/>
        <v>0</v>
      </c>
    </row>
    <row r="631" spans="1:16" x14ac:dyDescent="0.25">
      <c r="A631" s="2">
        <f>'Historical Prices'!A629</f>
        <v>46036</v>
      </c>
      <c r="B631" s="3">
        <f>'Historical Prices'!C629/'Historical Prices'!C628-1</f>
        <v>-1.2695339519595006E-2</v>
      </c>
      <c r="C631" s="3">
        <f>'Historical Prices'!B629/'Historical Prices'!B628-1</f>
        <v>2.9160132917252168E-2</v>
      </c>
      <c r="D631" s="3">
        <f>'Historical Prices'!D629/'Historical Prices'!D628-1</f>
        <v>-1.2943685826288576E-2</v>
      </c>
      <c r="E631" s="3">
        <f>'Historical Prices'!E629/'Historical Prices'!E628-1</f>
        <v>5.0032925018417274E-4</v>
      </c>
      <c r="F631" s="3">
        <f>'Historical Prices'!F629/'Historical Prices'!F628-1</f>
        <v>-3.2773323494351692E-3</v>
      </c>
      <c r="G631" s="9">
        <f t="shared" si="66"/>
        <v>-7.9347005372976923E-4</v>
      </c>
      <c r="H631" s="6">
        <f t="shared" si="67"/>
        <v>-793.47005372976923</v>
      </c>
      <c r="I631" s="9">
        <f t="shared" si="58"/>
        <v>1.1601618094575876E-2</v>
      </c>
      <c r="J631">
        <f t="shared" si="59"/>
        <v>0</v>
      </c>
      <c r="K631" s="5">
        <f t="shared" si="60"/>
        <v>1.4166097374620636E-2</v>
      </c>
      <c r="L631">
        <f t="shared" si="61"/>
        <v>0</v>
      </c>
      <c r="M631" s="9">
        <f t="shared" si="62"/>
        <v>2.066594675207737E-2</v>
      </c>
      <c r="N631">
        <f t="shared" si="63"/>
        <v>0</v>
      </c>
      <c r="O631" s="5">
        <f t="shared" si="64"/>
        <v>2.0236221846246197E-2</v>
      </c>
      <c r="P631">
        <f t="shared" si="65"/>
        <v>0</v>
      </c>
    </row>
    <row r="632" spans="1:16" x14ac:dyDescent="0.25">
      <c r="A632" s="2">
        <f>'Historical Prices'!A630</f>
        <v>46037</v>
      </c>
      <c r="B632" s="3">
        <f>'Historical Prices'!C630/'Historical Prices'!C629-1</f>
        <v>0</v>
      </c>
      <c r="C632" s="3">
        <f>'Historical Prices'!B630/'Historical Prices'!B629-1</f>
        <v>0</v>
      </c>
      <c r="D632" s="3">
        <f>'Historical Prices'!D630/'Historical Prices'!D629-1</f>
        <v>0</v>
      </c>
      <c r="E632" s="3">
        <f>'Historical Prices'!E630/'Historical Prices'!E629-1</f>
        <v>0</v>
      </c>
      <c r="F632" s="3">
        <f>'Historical Prices'!F630/'Historical Prices'!F629-1</f>
        <v>0</v>
      </c>
      <c r="G632" s="9">
        <f t="shared" si="66"/>
        <v>0</v>
      </c>
      <c r="H632" s="6">
        <f t="shared" si="67"/>
        <v>0</v>
      </c>
      <c r="I632" s="9">
        <f t="shared" si="58"/>
        <v>1.1468526435874982E-2</v>
      </c>
      <c r="J632">
        <f t="shared" si="59"/>
        <v>0</v>
      </c>
      <c r="K632" s="5">
        <f t="shared" si="60"/>
        <v>1.4067784659939164E-2</v>
      </c>
      <c r="L632">
        <f t="shared" si="61"/>
        <v>0</v>
      </c>
      <c r="M632" s="9">
        <f t="shared" si="62"/>
        <v>2.066594675207737E-2</v>
      </c>
      <c r="N632">
        <f t="shared" si="63"/>
        <v>0</v>
      </c>
      <c r="O632" s="5">
        <f t="shared" si="64"/>
        <v>2.0115246239481098E-2</v>
      </c>
      <c r="P632">
        <f t="shared" si="65"/>
        <v>0</v>
      </c>
    </row>
    <row r="633" spans="1:16" x14ac:dyDescent="0.25">
      <c r="A633" s="2">
        <f>'Historical Prices'!A631</f>
        <v>46038</v>
      </c>
      <c r="B633" s="3">
        <f>'Historical Prices'!C631/'Historical Prices'!C630-1</f>
        <v>6.1051069555231319E-3</v>
      </c>
      <c r="C633" s="3">
        <f>'Historical Prices'!B631/'Historical Prices'!B630-1</f>
        <v>-3.5418095782837611E-3</v>
      </c>
      <c r="D633" s="3">
        <f>'Historical Prices'!D631/'Historical Prices'!D630-1</f>
        <v>-5.3580883762593956E-3</v>
      </c>
      <c r="E633" s="3">
        <f>'Historical Prices'!E631/'Historical Prices'!E630-1</f>
        <v>5.6257060741947473E-2</v>
      </c>
      <c r="F633" s="3">
        <f>'Historical Prices'!F631/'Historical Prices'!F630-1</f>
        <v>2.3838973060439361E-3</v>
      </c>
      <c r="G633" s="9">
        <f t="shared" si="66"/>
        <v>1.0234020037892241E-2</v>
      </c>
      <c r="H633" s="6">
        <f t="shared" si="67"/>
        <v>10234.020037892242</v>
      </c>
      <c r="I633" s="9">
        <f t="shared" si="58"/>
        <v>1.1468526435874982E-2</v>
      </c>
      <c r="J633">
        <f t="shared" si="59"/>
        <v>0</v>
      </c>
      <c r="K633" s="5">
        <f t="shared" si="60"/>
        <v>1.4080648775560388E-2</v>
      </c>
      <c r="L633">
        <f t="shared" si="61"/>
        <v>0</v>
      </c>
      <c r="M633" s="9">
        <f t="shared" si="62"/>
        <v>2.066594675207737E-2</v>
      </c>
      <c r="N633">
        <f t="shared" si="63"/>
        <v>0</v>
      </c>
      <c r="O633" s="5">
        <f t="shared" si="64"/>
        <v>2.0124275448769567E-2</v>
      </c>
      <c r="P633">
        <f t="shared" si="65"/>
        <v>0</v>
      </c>
    </row>
    <row r="634" spans="1:16" x14ac:dyDescent="0.25">
      <c r="A634" s="2">
        <f>'Historical Prices'!A632</f>
        <v>46041</v>
      </c>
      <c r="B634" s="3">
        <f>'Historical Prices'!C632/'Historical Prices'!C631-1</f>
        <v>-3.4367441828232481E-3</v>
      </c>
      <c r="C634" s="3">
        <f>'Historical Prices'!B632/'Historical Prices'!B631-1</f>
        <v>1.0276653128078461E-2</v>
      </c>
      <c r="D634" s="3">
        <f>'Historical Prices'!D632/'Historical Prices'!D631-1</f>
        <v>-2.1406368135154952E-2</v>
      </c>
      <c r="E634" s="3">
        <f>'Historical Prices'!E632/'Historical Prices'!E631-1</f>
        <v>-5.0894356128828866E-3</v>
      </c>
      <c r="F634" s="3">
        <f>'Historical Prices'!F632/'Historical Prices'!F631-1</f>
        <v>-2.1870389717804084E-4</v>
      </c>
      <c r="G634" s="9">
        <f t="shared" si="66"/>
        <v>-4.6923451738648822E-3</v>
      </c>
      <c r="H634" s="6">
        <f t="shared" si="67"/>
        <v>-4692.3451738648819</v>
      </c>
      <c r="I634" s="9">
        <f t="shared" si="58"/>
        <v>1.1468526435874982E-2</v>
      </c>
      <c r="J634">
        <f t="shared" si="59"/>
        <v>0</v>
      </c>
      <c r="K634" s="5">
        <f t="shared" si="60"/>
        <v>1.399418128925815E-2</v>
      </c>
      <c r="L634">
        <f t="shared" si="61"/>
        <v>0</v>
      </c>
      <c r="M634" s="9">
        <f t="shared" si="62"/>
        <v>2.066594675207737E-2</v>
      </c>
      <c r="N634">
        <f t="shared" si="63"/>
        <v>0</v>
      </c>
      <c r="O634" s="5">
        <f t="shared" si="64"/>
        <v>2.0035383930996693E-2</v>
      </c>
      <c r="P634">
        <f t="shared" si="65"/>
        <v>0</v>
      </c>
    </row>
    <row r="635" spans="1:16" x14ac:dyDescent="0.25">
      <c r="A635" s="2">
        <f>'Historical Prices'!A633</f>
        <v>46042</v>
      </c>
      <c r="B635" s="3">
        <f>'Historical Prices'!C633/'Historical Prices'!C632-1</f>
        <v>3.5563835603835692E-3</v>
      </c>
      <c r="C635" s="3">
        <f>'Historical Prices'!B633/'Historical Prices'!B632-1</f>
        <v>-1.0707492423000842E-2</v>
      </c>
      <c r="D635" s="3">
        <f>'Historical Prices'!D633/'Historical Prices'!D632-1</f>
        <v>-3.4766717394878466E-3</v>
      </c>
      <c r="E635" s="3">
        <f>'Historical Prices'!E633/'Historical Prices'!E632-1</f>
        <v>-1.3264245798949803E-2</v>
      </c>
      <c r="F635" s="3">
        <f>'Historical Prices'!F633/'Historical Prices'!F632-1</f>
        <v>-2.7314490194788932E-2</v>
      </c>
      <c r="G635" s="9">
        <f t="shared" si="66"/>
        <v>-9.7312767256473552E-3</v>
      </c>
      <c r="H635" s="6">
        <f t="shared" si="67"/>
        <v>-9731.2767256473544</v>
      </c>
      <c r="I635" s="9">
        <f t="shared" si="58"/>
        <v>1.1468526435874982E-2</v>
      </c>
      <c r="J635">
        <f t="shared" si="59"/>
        <v>0</v>
      </c>
      <c r="K635" s="5">
        <f t="shared" si="60"/>
        <v>1.4035486356218834E-2</v>
      </c>
      <c r="L635">
        <f t="shared" si="61"/>
        <v>0</v>
      </c>
      <c r="M635" s="9">
        <f t="shared" si="62"/>
        <v>2.066594675207737E-2</v>
      </c>
      <c r="N635">
        <f t="shared" si="63"/>
        <v>0</v>
      </c>
      <c r="O635" s="5">
        <f t="shared" si="64"/>
        <v>2.0078593859267253E-2</v>
      </c>
      <c r="P635">
        <f t="shared" si="65"/>
        <v>0</v>
      </c>
    </row>
    <row r="636" spans="1:16" x14ac:dyDescent="0.25">
      <c r="A636" s="2">
        <f>'Historical Prices'!A634</f>
        <v>46043</v>
      </c>
      <c r="B636" s="3">
        <f>'Historical Prices'!C634/'Historical Prices'!C633-1</f>
        <v>-1.1651693421642073E-2</v>
      </c>
      <c r="C636" s="3">
        <f>'Historical Prices'!B634/'Historical Prices'!B633-1</f>
        <v>-6.6486365086525501E-3</v>
      </c>
      <c r="D636" s="3">
        <f>'Historical Prices'!D634/'Historical Prices'!D633-1</f>
        <v>-1.9479646810778628E-2</v>
      </c>
      <c r="E636" s="3">
        <f>'Historical Prices'!E634/'Historical Prices'!E633-1</f>
        <v>-2.7126271391264556E-3</v>
      </c>
      <c r="F636" s="3">
        <f>'Historical Prices'!F634/'Historical Prices'!F633-1</f>
        <v>-1.1805754015214998E-3</v>
      </c>
      <c r="G636" s="9">
        <f t="shared" si="66"/>
        <v>-8.8479881985656702E-3</v>
      </c>
      <c r="H636" s="6">
        <f t="shared" si="67"/>
        <v>-8847.9881985656702</v>
      </c>
      <c r="I636" s="9">
        <f t="shared" si="58"/>
        <v>1.1368197144164687E-2</v>
      </c>
      <c r="J636">
        <f t="shared" si="59"/>
        <v>0</v>
      </c>
      <c r="K636" s="5">
        <f t="shared" si="60"/>
        <v>1.3656041664878559E-2</v>
      </c>
      <c r="L636">
        <f t="shared" si="61"/>
        <v>0</v>
      </c>
      <c r="M636" s="9">
        <f t="shared" si="62"/>
        <v>1.830498665272139E-2</v>
      </c>
      <c r="N636">
        <f t="shared" si="63"/>
        <v>0</v>
      </c>
      <c r="O636" s="5">
        <f t="shared" si="64"/>
        <v>1.9574682444782956E-2</v>
      </c>
      <c r="P636">
        <f t="shared" si="65"/>
        <v>0</v>
      </c>
    </row>
    <row r="637" spans="1:16" x14ac:dyDescent="0.25">
      <c r="A637" s="2">
        <f>'Historical Prices'!A635</f>
        <v>46044</v>
      </c>
      <c r="B637" s="3">
        <f>'Historical Prices'!C635/'Historical Prices'!C634-1</f>
        <v>-1.7927454649970809E-3</v>
      </c>
      <c r="C637" s="3">
        <f>'Historical Prices'!B635/'Historical Prices'!B634-1</f>
        <v>7.7049463532690154E-3</v>
      </c>
      <c r="D637" s="3">
        <f>'Historical Prices'!D635/'Historical Prices'!D634-1</f>
        <v>-2.5944870253291619E-3</v>
      </c>
      <c r="E637" s="3">
        <f>'Historical Prices'!E635/'Historical Prices'!E634-1</f>
        <v>5.500467292467226E-3</v>
      </c>
      <c r="F637" s="3">
        <f>'Historical Prices'!F635/'Historical Prices'!F634-1</f>
        <v>5.7411399228066706E-3</v>
      </c>
      <c r="G637" s="9">
        <f t="shared" si="66"/>
        <v>2.5713702723133306E-3</v>
      </c>
      <c r="H637" s="6">
        <f t="shared" si="67"/>
        <v>2571.3702723133306</v>
      </c>
      <c r="I637" s="9">
        <f t="shared" si="58"/>
        <v>1.1368197144164687E-2</v>
      </c>
      <c r="J637">
        <f t="shared" si="59"/>
        <v>0</v>
      </c>
      <c r="K637" s="5">
        <f t="shared" si="60"/>
        <v>1.3727615732920941E-2</v>
      </c>
      <c r="L637">
        <f t="shared" si="61"/>
        <v>0</v>
      </c>
      <c r="M637" s="9">
        <f t="shared" si="62"/>
        <v>1.830498665272139E-2</v>
      </c>
      <c r="N637">
        <f t="shared" si="63"/>
        <v>0</v>
      </c>
      <c r="O637" s="5">
        <f t="shared" si="64"/>
        <v>1.9660335526062927E-2</v>
      </c>
      <c r="P637">
        <f t="shared" si="65"/>
        <v>0</v>
      </c>
    </row>
    <row r="638" spans="1:16" x14ac:dyDescent="0.25">
      <c r="A638" s="2">
        <f>'Historical Prices'!A636</f>
        <v>46045</v>
      </c>
      <c r="B638" s="3">
        <f>'Historical Prices'!C636/'Historical Prices'!C635-1</f>
        <v>-2.8301326122368575E-3</v>
      </c>
      <c r="C638" s="3">
        <f>'Historical Prices'!B636/'Historical Prices'!B635-1</f>
        <v>-2.8421444333279089E-2</v>
      </c>
      <c r="D638" s="3">
        <f>'Historical Prices'!D636/'Historical Prices'!D635-1</f>
        <v>-1.5607232409243776E-3</v>
      </c>
      <c r="E638" s="3">
        <f>'Historical Prices'!E636/'Historical Prices'!E635-1</f>
        <v>4.3883422359662916E-3</v>
      </c>
      <c r="F638" s="3">
        <f>'Historical Prices'!F636/'Historical Prices'!F635-1</f>
        <v>-8.4786065315347603E-3</v>
      </c>
      <c r="G638" s="9">
        <f t="shared" si="66"/>
        <v>-7.0151445148688768E-3</v>
      </c>
      <c r="H638" s="6">
        <f t="shared" si="67"/>
        <v>-7015.1445148688772</v>
      </c>
      <c r="I638" s="9">
        <f t="shared" si="58"/>
        <v>1.1166307509731131E-2</v>
      </c>
      <c r="J638">
        <f t="shared" si="59"/>
        <v>0</v>
      </c>
      <c r="K638" s="5">
        <f t="shared" si="60"/>
        <v>1.3532220373337473E-2</v>
      </c>
      <c r="L638">
        <f t="shared" si="61"/>
        <v>0</v>
      </c>
      <c r="M638" s="9">
        <f t="shared" si="62"/>
        <v>1.830498665272139E-2</v>
      </c>
      <c r="N638">
        <f t="shared" si="63"/>
        <v>0</v>
      </c>
      <c r="O638" s="5">
        <f t="shared" si="64"/>
        <v>1.9416431107064414E-2</v>
      </c>
      <c r="P638">
        <f t="shared" si="65"/>
        <v>0</v>
      </c>
    </row>
    <row r="639" spans="1:16" x14ac:dyDescent="0.25">
      <c r="A639" s="2">
        <f>'Historical Prices'!A637</f>
        <v>46049</v>
      </c>
      <c r="B639" s="3">
        <f>'Historical Prices'!C637/'Historical Prices'!C636-1</f>
        <v>1.1243416433832643E-2</v>
      </c>
      <c r="C639" s="3">
        <f>'Historical Prices'!B637/'Historical Prices'!B636-1</f>
        <v>4.5945975341424861E-2</v>
      </c>
      <c r="D639" s="3">
        <f>'Historical Prices'!D637/'Historical Prices'!D636-1</f>
        <v>1.3398814089083277E-2</v>
      </c>
      <c r="E639" s="3">
        <f>'Historical Prices'!E637/'Historical Prices'!E636-1</f>
        <v>7.122263951241159E-3</v>
      </c>
      <c r="F639" s="3">
        <f>'Historical Prices'!F637/'Historical Prices'!F636-1</f>
        <v>-4.2304030638865342E-2</v>
      </c>
      <c r="G639" s="9">
        <f t="shared" si="66"/>
        <v>7.0346974720973468E-3</v>
      </c>
      <c r="H639" s="6">
        <f t="shared" si="67"/>
        <v>7034.6974720973467</v>
      </c>
      <c r="I639" s="9">
        <f t="shared" si="58"/>
        <v>1.1166307509731131E-2</v>
      </c>
      <c r="J639">
        <f t="shared" si="59"/>
        <v>0</v>
      </c>
      <c r="K639" s="5">
        <f t="shared" si="60"/>
        <v>1.3594233459775078E-2</v>
      </c>
      <c r="L639">
        <f t="shared" si="61"/>
        <v>0</v>
      </c>
      <c r="M639" s="9">
        <f t="shared" si="62"/>
        <v>1.830498665272139E-2</v>
      </c>
      <c r="N639">
        <f t="shared" si="63"/>
        <v>0</v>
      </c>
      <c r="O639" s="5">
        <f t="shared" si="64"/>
        <v>1.9479522806310517E-2</v>
      </c>
      <c r="P639">
        <f t="shared" si="65"/>
        <v>0</v>
      </c>
    </row>
    <row r="640" spans="1:16" x14ac:dyDescent="0.25">
      <c r="A640" s="2">
        <f>'Historical Prices'!A638</f>
        <v>46050</v>
      </c>
      <c r="B640" s="3">
        <f>'Historical Prices'!C638/'Historical Prices'!C637-1</f>
        <v>6.8004649329573841E-3</v>
      </c>
      <c r="C640" s="3">
        <f>'Historical Prices'!B638/'Historical Prices'!B637-1</f>
        <v>3.0399990641296615E-3</v>
      </c>
      <c r="D640" s="3">
        <f>'Historical Prices'!D638/'Historical Prices'!D637-1</f>
        <v>4.627576314817583E-3</v>
      </c>
      <c r="E640" s="3">
        <f>'Historical Prices'!E638/'Historical Prices'!E637-1</f>
        <v>-9.6273511966173952E-3</v>
      </c>
      <c r="F640" s="3">
        <f>'Historical Prices'!F638/'Historical Prices'!F637-1</f>
        <v>1.641371733592023E-2</v>
      </c>
      <c r="G640" s="9">
        <f t="shared" si="66"/>
        <v>4.4411888524933081E-3</v>
      </c>
      <c r="H640" s="6">
        <f t="shared" si="67"/>
        <v>4441.1888524933083</v>
      </c>
      <c r="I640" s="9">
        <f t="shared" ref="I640:I703" si="68">-_xlfn.PERCENTILE.INC(G390:G639, 0.05)</f>
        <v>1.1166307509731131E-2</v>
      </c>
      <c r="J640">
        <f t="shared" ref="J640:J703" si="69">--($G640&lt;-I640)</f>
        <v>0</v>
      </c>
      <c r="K640" s="5">
        <f t="shared" ref="K640:K703" si="70">_xlfn.NORM.S.INV(0.95)*_xlfn.STDEV.S($G390:$G639)-AVERAGE($G390:$G639)</f>
        <v>1.3592674047715778E-2</v>
      </c>
      <c r="L640">
        <f t="shared" ref="L640:L703" si="71">--($G640&lt;-K640)</f>
        <v>0</v>
      </c>
      <c r="M640" s="9">
        <f t="shared" ref="M640:M703" si="72">-_xlfn.PERCENTILE.INC(G390:G629, 0.01)</f>
        <v>1.830498665272139E-2</v>
      </c>
      <c r="N640">
        <f t="shared" ref="N640:N703" si="73">--($G640&lt;-M640)</f>
        <v>0</v>
      </c>
      <c r="O640" s="5">
        <f t="shared" ref="O640:O703" si="74">_xlfn.NORM.S.INV(0.99)*_xlfn.STDEV.S($G390:$G639)-AVERAGE($G390:$G639)</f>
        <v>1.9483163441746099E-2</v>
      </c>
      <c r="P640">
        <f t="shared" ref="P640:P703" si="75">--($G640&lt;-O640)</f>
        <v>0</v>
      </c>
    </row>
    <row r="641" spans="1:16" x14ac:dyDescent="0.25">
      <c r="A641" s="2">
        <f>'Historical Prices'!A639</f>
        <v>46051</v>
      </c>
      <c r="B641" s="3">
        <f>'Historical Prices'!C639/'Historical Prices'!C638-1</f>
        <v>3.0020507261359075E-3</v>
      </c>
      <c r="C641" s="3">
        <f>'Historical Prices'!B639/'Historical Prices'!B638-1</f>
        <v>3.3262553605461598E-2</v>
      </c>
      <c r="D641" s="3">
        <f>'Historical Prices'!D639/'Historical Prices'!D638-1</f>
        <v>1.1625366960408945E-2</v>
      </c>
      <c r="E641" s="3">
        <f>'Historical Prices'!E639/'Historical Prices'!E638-1</f>
        <v>-4.200390561711842E-3</v>
      </c>
      <c r="F641" s="3">
        <f>'Historical Prices'!F639/'Historical Prices'!F638-1</f>
        <v>-1.8786933789186833E-2</v>
      </c>
      <c r="G641" s="9">
        <f t="shared" si="66"/>
        <v>5.011417885566043E-3</v>
      </c>
      <c r="H641" s="6">
        <f t="shared" si="67"/>
        <v>5011.417885566043</v>
      </c>
      <c r="I641" s="9">
        <f t="shared" si="68"/>
        <v>1.1166307509731131E-2</v>
      </c>
      <c r="J641">
        <f t="shared" si="69"/>
        <v>0</v>
      </c>
      <c r="K641" s="5">
        <f t="shared" si="70"/>
        <v>1.3542334033799033E-2</v>
      </c>
      <c r="L641">
        <f t="shared" si="71"/>
        <v>0</v>
      </c>
      <c r="M641" s="9">
        <f t="shared" si="72"/>
        <v>1.830498665272139E-2</v>
      </c>
      <c r="N641">
        <f t="shared" si="73"/>
        <v>0</v>
      </c>
      <c r="O641" s="5">
        <f t="shared" si="74"/>
        <v>1.9428753808378933E-2</v>
      </c>
      <c r="P641">
        <f t="shared" si="75"/>
        <v>0</v>
      </c>
    </row>
    <row r="642" spans="1:16" x14ac:dyDescent="0.25">
      <c r="A642" s="2">
        <f>'Historical Prices'!A640</f>
        <v>46052</v>
      </c>
      <c r="B642" s="3">
        <f>'Historical Prices'!C640/'Historical Prices'!C639-1</f>
        <v>-6.6809246648047438E-3</v>
      </c>
      <c r="C642" s="3">
        <f>'Historical Prices'!B640/'Historical Prices'!B639-1</f>
        <v>4.9131845794181395E-3</v>
      </c>
      <c r="D642" s="3">
        <f>'Historical Prices'!D640/'Historical Prices'!D639-1</f>
        <v>-2.0670756635300491E-2</v>
      </c>
      <c r="E642" s="3">
        <f>'Historical Prices'!E640/'Historical Prices'!E639-1</f>
        <v>-1.1147938072588515E-2</v>
      </c>
      <c r="F642" s="3">
        <f>'Historical Prices'!F640/'Historical Prices'!F639-1</f>
        <v>1.4005457472636484E-2</v>
      </c>
      <c r="G642" s="9">
        <f t="shared" si="66"/>
        <v>-4.5665931879973858E-3</v>
      </c>
      <c r="H642" s="6">
        <f t="shared" si="67"/>
        <v>-4566.5931879973859</v>
      </c>
      <c r="I642" s="9">
        <f t="shared" si="68"/>
        <v>1.1166307509731131E-2</v>
      </c>
      <c r="J642">
        <f t="shared" si="69"/>
        <v>0</v>
      </c>
      <c r="K642" s="5">
        <f t="shared" si="70"/>
        <v>1.3517100304475472E-2</v>
      </c>
      <c r="L642">
        <f t="shared" si="71"/>
        <v>0</v>
      </c>
      <c r="M642" s="9">
        <f t="shared" si="72"/>
        <v>1.830498665272139E-2</v>
      </c>
      <c r="N642">
        <f t="shared" si="73"/>
        <v>0</v>
      </c>
      <c r="O642" s="5">
        <f t="shared" si="74"/>
        <v>1.9405120852451239E-2</v>
      </c>
      <c r="P642">
        <f t="shared" si="75"/>
        <v>0</v>
      </c>
    </row>
    <row r="643" spans="1:16" x14ac:dyDescent="0.25">
      <c r="A643" s="2">
        <f>'Historical Prices'!A641</f>
        <v>46055</v>
      </c>
      <c r="B643" s="3">
        <f>'Historical Prices'!C641/'Historical Prices'!C640-1</f>
        <v>-1.2376212007129128E-3</v>
      </c>
      <c r="C643" s="3">
        <f>'Historical Prices'!B641/'Historical Prices'!B640-1</f>
        <v>-4.2980152912379777E-2</v>
      </c>
      <c r="D643" s="3">
        <f>'Historical Prices'!D641/'Historical Prices'!D640-1</f>
        <v>-1.6235497660562759E-3</v>
      </c>
      <c r="E643" s="3">
        <f>'Historical Prices'!E641/'Historical Prices'!E640-1</f>
        <v>-7.0689040117082325E-3</v>
      </c>
      <c r="F643" s="3">
        <f>'Historical Prices'!F641/'Historical Prices'!F640-1</f>
        <v>9.1496603554233058E-3</v>
      </c>
      <c r="G643" s="9">
        <f t="shared" si="66"/>
        <v>-8.0846743010623556E-3</v>
      </c>
      <c r="H643" s="6">
        <f t="shared" si="67"/>
        <v>-8084.6743010623559</v>
      </c>
      <c r="I643" s="9">
        <f t="shared" si="68"/>
        <v>1.1166307509731131E-2</v>
      </c>
      <c r="J643">
        <f t="shared" si="69"/>
        <v>0</v>
      </c>
      <c r="K643" s="5">
        <f t="shared" si="70"/>
        <v>1.3491041457770074E-2</v>
      </c>
      <c r="L643">
        <f t="shared" si="71"/>
        <v>0</v>
      </c>
      <c r="M643" s="9">
        <f t="shared" si="72"/>
        <v>1.830498665272139E-2</v>
      </c>
      <c r="N643">
        <f t="shared" si="73"/>
        <v>0</v>
      </c>
      <c r="O643" s="5">
        <f t="shared" si="74"/>
        <v>1.9328973767633734E-2</v>
      </c>
      <c r="P643">
        <f t="shared" si="75"/>
        <v>0</v>
      </c>
    </row>
    <row r="644" spans="1:16" x14ac:dyDescent="0.25">
      <c r="A644" s="2">
        <f>'Historical Prices'!A642</f>
        <v>46056</v>
      </c>
      <c r="B644" s="3">
        <f>'Historical Prices'!C642/'Historical Prices'!C641-1</f>
        <v>2.219595265139751E-2</v>
      </c>
      <c r="C644" s="3">
        <f>'Historical Prices'!B642/'Historical Prices'!B641-1</f>
        <v>3.4082996748460603E-2</v>
      </c>
      <c r="D644" s="3">
        <f>'Historical Prices'!D642/'Historical Prices'!D641-1</f>
        <v>2.7276695526662342E-2</v>
      </c>
      <c r="E644" s="3">
        <f>'Historical Prices'!E642/'Historical Prices'!E641-1</f>
        <v>1.6325051076058639E-2</v>
      </c>
      <c r="F644" s="3">
        <f>'Historical Prices'!F642/'Historical Prices'!F641-1</f>
        <v>1.8682137034109481E-2</v>
      </c>
      <c r="G644" s="9">
        <f t="shared" si="66"/>
        <v>2.3784850582386611E-2</v>
      </c>
      <c r="H644" s="6">
        <f t="shared" si="67"/>
        <v>23784.850582386611</v>
      </c>
      <c r="I644" s="9">
        <f t="shared" si="68"/>
        <v>1.1166307509731131E-2</v>
      </c>
      <c r="J644">
        <f t="shared" si="69"/>
        <v>0</v>
      </c>
      <c r="K644" s="5">
        <f t="shared" si="70"/>
        <v>1.3556267598941258E-2</v>
      </c>
      <c r="L644">
        <f t="shared" si="71"/>
        <v>0</v>
      </c>
      <c r="M644" s="9">
        <f t="shared" si="72"/>
        <v>1.830498665272139E-2</v>
      </c>
      <c r="N644">
        <f t="shared" si="73"/>
        <v>0</v>
      </c>
      <c r="O644" s="5">
        <f t="shared" si="74"/>
        <v>1.9390487682291471E-2</v>
      </c>
      <c r="P644">
        <f t="shared" si="75"/>
        <v>0</v>
      </c>
    </row>
    <row r="645" spans="1:16" x14ac:dyDescent="0.25">
      <c r="A645" s="2">
        <f>'Historical Prices'!A643</f>
        <v>46057</v>
      </c>
      <c r="B645" s="3">
        <f>'Historical Prices'!C643/'Historical Prices'!C642-1</f>
        <v>4.6378811875502635E-3</v>
      </c>
      <c r="C645" s="3">
        <f>'Historical Prices'!B643/'Historical Prices'!B642-1</f>
        <v>-1.2903655277500925E-2</v>
      </c>
      <c r="D645" s="3">
        <f>'Historical Prices'!D643/'Historical Prices'!D642-1</f>
        <v>1.3456166433760686E-2</v>
      </c>
      <c r="E645" s="3">
        <f>'Historical Prices'!E643/'Historical Prices'!E642-1</f>
        <v>-7.2584549694241884E-2</v>
      </c>
      <c r="F645" s="3">
        <f>'Historical Prices'!F643/'Historical Prices'!F642-1</f>
        <v>1.3067316638584181E-2</v>
      </c>
      <c r="G645" s="9">
        <f t="shared" si="66"/>
        <v>-9.1807180927961675E-3</v>
      </c>
      <c r="H645" s="6">
        <f t="shared" si="67"/>
        <v>-9180.7180927961672</v>
      </c>
      <c r="I645" s="9">
        <f t="shared" si="68"/>
        <v>1.1166307509731131E-2</v>
      </c>
      <c r="J645">
        <f t="shared" si="69"/>
        <v>0</v>
      </c>
      <c r="K645" s="5">
        <f t="shared" si="70"/>
        <v>1.3678796845994486E-2</v>
      </c>
      <c r="L645">
        <f t="shared" si="71"/>
        <v>0</v>
      </c>
      <c r="M645" s="9">
        <f t="shared" si="72"/>
        <v>1.830498665272139E-2</v>
      </c>
      <c r="N645">
        <f t="shared" si="73"/>
        <v>0</v>
      </c>
      <c r="O645" s="5">
        <f t="shared" si="74"/>
        <v>1.9596956497294104E-2</v>
      </c>
      <c r="P645">
        <f t="shared" si="75"/>
        <v>0</v>
      </c>
    </row>
    <row r="646" spans="1:16" x14ac:dyDescent="0.25">
      <c r="A646" s="2">
        <f>'Historical Prices'!A644</f>
        <v>46058</v>
      </c>
      <c r="B646" s="3">
        <f>'Historical Prices'!C644/'Historical Prices'!C643-1</f>
        <v>-3.5672904482948464E-3</v>
      </c>
      <c r="C646" s="3">
        <f>'Historical Prices'!B644/'Historical Prices'!B643-1</f>
        <v>-6.0506403481819238E-3</v>
      </c>
      <c r="D646" s="3">
        <f>'Historical Prices'!D644/'Historical Prices'!D643-1</f>
        <v>-8.4493195531430976E-3</v>
      </c>
      <c r="E646" s="3">
        <f>'Historical Prices'!E644/'Historical Prices'!E643-1</f>
        <v>-1.0157624300342949E-2</v>
      </c>
      <c r="F646" s="3">
        <f>'Historical Prices'!F644/'Historical Prices'!F643-1</f>
        <v>-5.5960636072316383E-4</v>
      </c>
      <c r="G646" s="9">
        <f t="shared" ref="G646:G709" si="76">SUMPRODUCT(B646:F646, $B$2:$F$2)</f>
        <v>-5.7717734797870946E-3</v>
      </c>
      <c r="H646" s="6">
        <f t="shared" ref="H646:H709" si="77">G646*1000000</f>
        <v>-5771.7734797870944</v>
      </c>
      <c r="I646" s="9">
        <f t="shared" si="68"/>
        <v>1.1166307509731131E-2</v>
      </c>
      <c r="J646">
        <f t="shared" si="69"/>
        <v>0</v>
      </c>
      <c r="K646" s="5">
        <f t="shared" si="70"/>
        <v>1.3762994142753768E-2</v>
      </c>
      <c r="L646">
        <f t="shared" si="71"/>
        <v>0</v>
      </c>
      <c r="M646" s="9">
        <f t="shared" si="72"/>
        <v>1.830498665272139E-2</v>
      </c>
      <c r="N646">
        <f t="shared" si="73"/>
        <v>0</v>
      </c>
      <c r="O646" s="5">
        <f t="shared" si="74"/>
        <v>1.969449807066492E-2</v>
      </c>
      <c r="P646">
        <f t="shared" si="75"/>
        <v>0</v>
      </c>
    </row>
    <row r="647" spans="1:16" x14ac:dyDescent="0.25">
      <c r="A647" s="2">
        <f>'Historical Prices'!A645</f>
        <v>46059</v>
      </c>
      <c r="B647" s="3">
        <f>'Historical Prices'!C645/'Historical Prices'!C644-1</f>
        <v>-9.0554998066209036E-3</v>
      </c>
      <c r="C647" s="3">
        <f>'Historical Prices'!B645/'Historical Prices'!B644-1</f>
        <v>8.2668961955578713E-3</v>
      </c>
      <c r="D647" s="3">
        <f>'Historical Prices'!D645/'Historical Prices'!D644-1</f>
        <v>6.8743516675233707E-3</v>
      </c>
      <c r="E647" s="3">
        <f>'Historical Prices'!E645/'Historical Prices'!E644-1</f>
        <v>-8.6172752405719866E-3</v>
      </c>
      <c r="F647" s="3">
        <f>'Historical Prices'!F645/'Historical Prices'!F644-1</f>
        <v>1.6797590860386791E-3</v>
      </c>
      <c r="G647" s="9">
        <f t="shared" si="76"/>
        <v>-7.8965895225785714E-5</v>
      </c>
      <c r="H647" s="6">
        <f t="shared" si="77"/>
        <v>-78.965895225785715</v>
      </c>
      <c r="I647" s="9">
        <f t="shared" si="68"/>
        <v>1.1166307509731131E-2</v>
      </c>
      <c r="J647">
        <f t="shared" si="69"/>
        <v>0</v>
      </c>
      <c r="K647" s="5">
        <f t="shared" si="70"/>
        <v>1.3813288013108001E-2</v>
      </c>
      <c r="L647">
        <f t="shared" si="71"/>
        <v>0</v>
      </c>
      <c r="M647" s="9">
        <f t="shared" si="72"/>
        <v>1.830498665272139E-2</v>
      </c>
      <c r="N647">
        <f t="shared" si="73"/>
        <v>0</v>
      </c>
      <c r="O647" s="5">
        <f t="shared" si="74"/>
        <v>1.9748430733853965E-2</v>
      </c>
      <c r="P647">
        <f t="shared" si="75"/>
        <v>0</v>
      </c>
    </row>
    <row r="648" spans="1:16" x14ac:dyDescent="0.25">
      <c r="A648" s="2">
        <f>'Historical Prices'!A646</f>
        <v>46062</v>
      </c>
      <c r="B648" s="3">
        <f>'Historical Prices'!C646/'Historical Prices'!C645-1</f>
        <v>-4.0909513446303336E-3</v>
      </c>
      <c r="C648" s="3">
        <f>'Historical Prices'!B646/'Historical Prices'!B645-1</f>
        <v>-1.4897216943088321E-4</v>
      </c>
      <c r="D648" s="3">
        <f>'Historical Prices'!D646/'Historical Prices'!D645-1</f>
        <v>-6.9695934523467118E-3</v>
      </c>
      <c r="E648" s="3">
        <f>'Historical Prices'!E646/'Historical Prices'!E645-1</f>
        <v>-6.5689074527385261E-3</v>
      </c>
      <c r="F648" s="3">
        <f>'Historical Prices'!F646/'Historical Prices'!F645-1</f>
        <v>8.8317854087616166E-3</v>
      </c>
      <c r="G648" s="9">
        <f t="shared" si="76"/>
        <v>-1.9839338167100401E-3</v>
      </c>
      <c r="H648" s="6">
        <f t="shared" si="77"/>
        <v>-1983.93381671004</v>
      </c>
      <c r="I648" s="9">
        <f t="shared" si="68"/>
        <v>1.1166307509731131E-2</v>
      </c>
      <c r="J648">
        <f t="shared" si="69"/>
        <v>0</v>
      </c>
      <c r="K648" s="5">
        <f t="shared" si="70"/>
        <v>1.3824422747343858E-2</v>
      </c>
      <c r="L648">
        <f t="shared" si="71"/>
        <v>0</v>
      </c>
      <c r="M648" s="9">
        <f t="shared" si="72"/>
        <v>1.830498665272139E-2</v>
      </c>
      <c r="N648">
        <f t="shared" si="73"/>
        <v>0</v>
      </c>
      <c r="O648" s="5">
        <f t="shared" si="74"/>
        <v>1.9758156975877451E-2</v>
      </c>
      <c r="P648">
        <f t="shared" si="75"/>
        <v>0</v>
      </c>
    </row>
    <row r="649" spans="1:16" x14ac:dyDescent="0.25">
      <c r="A649" s="2">
        <f>'Historical Prices'!A647</f>
        <v>46063</v>
      </c>
      <c r="B649" s="3">
        <f>'Historical Prices'!C647/'Historical Prices'!C646-1</f>
        <v>-5.1746789268252158E-3</v>
      </c>
      <c r="C649" s="3">
        <f>'Historical Prices'!B647/'Historical Prices'!B646-1</f>
        <v>1.1405901178667577E-2</v>
      </c>
      <c r="D649" s="3">
        <f>'Historical Prices'!D647/'Historical Prices'!D646-1</f>
        <v>7.3049452060787168E-3</v>
      </c>
      <c r="E649" s="3">
        <f>'Historical Prices'!E647/'Historical Prices'!E646-1</f>
        <v>4.0082380453587696E-4</v>
      </c>
      <c r="F649" s="3">
        <f>'Historical Prices'!F647/'Historical Prices'!F646-1</f>
        <v>1.8339963880105614E-2</v>
      </c>
      <c r="G649" s="9">
        <f t="shared" si="76"/>
        <v>6.2908483431915567E-3</v>
      </c>
      <c r="H649" s="6">
        <f t="shared" si="77"/>
        <v>6290.8483431915565</v>
      </c>
      <c r="I649" s="9">
        <f t="shared" si="68"/>
        <v>1.1166307509731131E-2</v>
      </c>
      <c r="J649">
        <f t="shared" si="69"/>
        <v>0</v>
      </c>
      <c r="K649" s="5">
        <f t="shared" si="70"/>
        <v>1.3794596414510281E-2</v>
      </c>
      <c r="L649">
        <f t="shared" si="71"/>
        <v>0</v>
      </c>
      <c r="M649" s="9">
        <f t="shared" si="72"/>
        <v>1.830498665272139E-2</v>
      </c>
      <c r="N649">
        <f t="shared" si="73"/>
        <v>0</v>
      </c>
      <c r="O649" s="5">
        <f t="shared" si="74"/>
        <v>1.9683784413574126E-2</v>
      </c>
      <c r="P649">
        <f t="shared" si="75"/>
        <v>0</v>
      </c>
    </row>
    <row r="650" spans="1:16" x14ac:dyDescent="0.25">
      <c r="A650" s="2">
        <f>'Historical Prices'!A648</f>
        <v>46064</v>
      </c>
      <c r="B650" s="3">
        <f>'Historical Prices'!C648/'Historical Prices'!C647-1</f>
        <v>-5.6842980407960653E-3</v>
      </c>
      <c r="C650" s="3">
        <f>'Historical Prices'!B648/'Historical Prices'!B647-1</f>
        <v>-6.9284457703515656E-3</v>
      </c>
      <c r="D650" s="3">
        <f>'Historical Prices'!D648/'Historical Prices'!D647-1</f>
        <v>-2.8435837277029918E-4</v>
      </c>
      <c r="E650" s="3">
        <f>'Historical Prices'!E648/'Historical Prices'!E647-1</f>
        <v>-1.7292047926047771E-2</v>
      </c>
      <c r="F650" s="3">
        <f>'Historical Prices'!F648/'Historical Prices'!F647-1</f>
        <v>-2.4490575558056005E-4</v>
      </c>
      <c r="G650" s="9">
        <f t="shared" si="76"/>
        <v>-5.7704803940201044E-3</v>
      </c>
      <c r="H650" s="6">
        <f t="shared" si="77"/>
        <v>-5770.4803940201045</v>
      </c>
      <c r="I650" s="9">
        <f t="shared" si="68"/>
        <v>1.1166307509731131E-2</v>
      </c>
      <c r="J650">
        <f t="shared" si="69"/>
        <v>0</v>
      </c>
      <c r="K650" s="5">
        <f t="shared" si="70"/>
        <v>1.3785781585312414E-2</v>
      </c>
      <c r="L650">
        <f t="shared" si="71"/>
        <v>0</v>
      </c>
      <c r="M650" s="9">
        <f t="shared" si="72"/>
        <v>1.830498665272139E-2</v>
      </c>
      <c r="N650">
        <f t="shared" si="73"/>
        <v>0</v>
      </c>
      <c r="O650" s="5">
        <f t="shared" si="74"/>
        <v>1.9680381505964052E-2</v>
      </c>
      <c r="P650">
        <f t="shared" si="75"/>
        <v>0</v>
      </c>
    </row>
    <row r="651" spans="1:16" x14ac:dyDescent="0.25">
      <c r="A651" s="2">
        <f>'Historical Prices'!A649</f>
        <v>46065</v>
      </c>
      <c r="B651" s="3">
        <f>'Historical Prices'!C649/'Historical Prices'!C648-1</f>
        <v>-7.0110917434913489E-3</v>
      </c>
      <c r="C651" s="3">
        <f>'Historical Prices'!B649/'Historical Prices'!B648-1</f>
        <v>-5.4182874182227003E-3</v>
      </c>
      <c r="D651" s="3">
        <f>'Historical Prices'!D649/'Historical Prices'!D648-1</f>
        <v>1.6997368521040279E-2</v>
      </c>
      <c r="E651" s="3">
        <f>'Historical Prices'!E649/'Historical Prices'!E648-1</f>
        <v>-5.8359955019348542E-2</v>
      </c>
      <c r="F651" s="3">
        <f>'Historical Prices'!F649/'Historical Prices'!F648-1</f>
        <v>-2.2259055475444378E-2</v>
      </c>
      <c r="G651" s="9">
        <f t="shared" si="76"/>
        <v>-1.3643657297767696E-2</v>
      </c>
      <c r="H651" s="6">
        <f t="shared" si="77"/>
        <v>-13643.657297767695</v>
      </c>
      <c r="I651" s="9">
        <f t="shared" si="68"/>
        <v>1.1166307509731131E-2</v>
      </c>
      <c r="J651">
        <f t="shared" si="69"/>
        <v>1</v>
      </c>
      <c r="K651" s="5">
        <f t="shared" si="70"/>
        <v>1.3831561770771751E-2</v>
      </c>
      <c r="L651">
        <f t="shared" si="71"/>
        <v>0</v>
      </c>
      <c r="M651" s="9">
        <f t="shared" si="72"/>
        <v>1.830498665272139E-2</v>
      </c>
      <c r="N651">
        <f t="shared" si="73"/>
        <v>0</v>
      </c>
      <c r="O651" s="5">
        <f t="shared" si="74"/>
        <v>1.9731631130246768E-2</v>
      </c>
      <c r="P651">
        <f t="shared" si="75"/>
        <v>0</v>
      </c>
    </row>
    <row r="652" spans="1:16" x14ac:dyDescent="0.25">
      <c r="A652" s="2">
        <f>'Historical Prices'!A650</f>
        <v>46066</v>
      </c>
      <c r="B652" s="3">
        <f>'Historical Prices'!C650/'Historical Prices'!C649-1</f>
        <v>-1.814034153399624E-2</v>
      </c>
      <c r="C652" s="3">
        <f>'Historical Prices'!B650/'Historical Prices'!B649-1</f>
        <v>-5.7462875909810585E-3</v>
      </c>
      <c r="D652" s="3">
        <f>'Historical Prices'!D650/'Historical Prices'!D649-1</f>
        <v>-1.0769219909464223E-2</v>
      </c>
      <c r="E652" s="3">
        <f>'Historical Prices'!E650/'Historical Prices'!E649-1</f>
        <v>-1.219341672650287E-2</v>
      </c>
      <c r="F652" s="3">
        <f>'Historical Prices'!F650/'Historical Prices'!F649-1</f>
        <v>-1.6615251308156442E-2</v>
      </c>
      <c r="G652" s="9">
        <f t="shared" si="76"/>
        <v>-1.2786291525513893E-2</v>
      </c>
      <c r="H652" s="6">
        <f t="shared" si="77"/>
        <v>-12786.291525513892</v>
      </c>
      <c r="I652" s="9">
        <f t="shared" si="68"/>
        <v>1.1368197144164687E-2</v>
      </c>
      <c r="J652">
        <f t="shared" si="69"/>
        <v>1</v>
      </c>
      <c r="K652" s="5">
        <f t="shared" si="70"/>
        <v>1.3955960123052372E-2</v>
      </c>
      <c r="L652">
        <f t="shared" si="71"/>
        <v>0</v>
      </c>
      <c r="M652" s="9">
        <f t="shared" si="72"/>
        <v>1.830498665272139E-2</v>
      </c>
      <c r="N652">
        <f t="shared" si="73"/>
        <v>0</v>
      </c>
      <c r="O652" s="5">
        <f t="shared" si="74"/>
        <v>1.9886720758119238E-2</v>
      </c>
      <c r="P652">
        <f t="shared" si="75"/>
        <v>0</v>
      </c>
    </row>
    <row r="653" spans="1:16" x14ac:dyDescent="0.25">
      <c r="A653" s="2">
        <f>'Historical Prices'!A651</f>
        <v>46069</v>
      </c>
      <c r="B653" s="3">
        <f>'Historical Prices'!C651/'Historical Prices'!C650-1</f>
        <v>2.4228299578640033E-2</v>
      </c>
      <c r="C653" s="3">
        <f>'Historical Prices'!B651/'Historical Prices'!B650-1</f>
        <v>1.951513649949832E-2</v>
      </c>
      <c r="D653" s="3">
        <f>'Historical Prices'!D651/'Historical Prices'!D650-1</f>
        <v>-2.1207804987400936E-3</v>
      </c>
      <c r="E653" s="3">
        <f>'Historical Prices'!E651/'Historical Prices'!E650-1</f>
        <v>-2.5563605820202451E-3</v>
      </c>
      <c r="F653" s="3">
        <f>'Historical Prices'!F651/'Historical Prices'!F650-1</f>
        <v>-6.7073958769058306E-3</v>
      </c>
      <c r="G653" s="9">
        <f t="shared" si="76"/>
        <v>6.446583174519559E-3</v>
      </c>
      <c r="H653" s="6">
        <f t="shared" si="77"/>
        <v>6446.5831745195592</v>
      </c>
      <c r="I653" s="9">
        <f t="shared" si="68"/>
        <v>1.1468526435874982E-2</v>
      </c>
      <c r="J653">
        <f t="shared" si="69"/>
        <v>0</v>
      </c>
      <c r="K653" s="5">
        <f t="shared" si="70"/>
        <v>1.400110065730131E-2</v>
      </c>
      <c r="L653">
        <f t="shared" si="71"/>
        <v>0</v>
      </c>
      <c r="M653" s="9">
        <f t="shared" si="72"/>
        <v>1.830498665272139E-2</v>
      </c>
      <c r="N653">
        <f t="shared" si="73"/>
        <v>0</v>
      </c>
      <c r="O653" s="5">
        <f t="shared" si="74"/>
        <v>1.9944628330198746E-2</v>
      </c>
      <c r="P653">
        <f t="shared" si="75"/>
        <v>0</v>
      </c>
    </row>
    <row r="654" spans="1:16" x14ac:dyDescent="0.25">
      <c r="A654" s="2">
        <f>'Historical Prices'!A652</f>
        <v>46070</v>
      </c>
      <c r="B654" s="3">
        <f>'Historical Prices'!C652/'Historical Prices'!C651-1</f>
        <v>-1.0796492286002657E-4</v>
      </c>
      <c r="C654" s="3">
        <f>'Historical Prices'!B652/'Historical Prices'!B651-1</f>
        <v>-8.0990274061942813E-4</v>
      </c>
      <c r="D654" s="3">
        <f>'Historical Prices'!D652/'Historical Prices'!D651-1</f>
        <v>-2.9044698365838784E-3</v>
      </c>
      <c r="E654" s="3">
        <f>'Historical Prices'!E652/'Historical Prices'!E651-1</f>
        <v>1.8746319078381424E-2</v>
      </c>
      <c r="F654" s="3">
        <f>'Historical Prices'!F652/'Historical Prices'!F651-1</f>
        <v>-5.8409289308777312E-3</v>
      </c>
      <c r="G654" s="9">
        <f t="shared" si="76"/>
        <v>1.4917274799462316E-3</v>
      </c>
      <c r="H654" s="6">
        <f t="shared" si="77"/>
        <v>1491.7274799462316</v>
      </c>
      <c r="I654" s="9">
        <f t="shared" si="68"/>
        <v>1.1468526435874982E-2</v>
      </c>
      <c r="J654">
        <f t="shared" si="69"/>
        <v>0</v>
      </c>
      <c r="K654" s="5">
        <f t="shared" si="70"/>
        <v>1.3931315317888516E-2</v>
      </c>
      <c r="L654">
        <f t="shared" si="71"/>
        <v>0</v>
      </c>
      <c r="M654" s="9">
        <f t="shared" si="72"/>
        <v>1.830498665272139E-2</v>
      </c>
      <c r="N654">
        <f t="shared" si="73"/>
        <v>0</v>
      </c>
      <c r="O654" s="5">
        <f t="shared" si="74"/>
        <v>1.9869777409607211E-2</v>
      </c>
      <c r="P654">
        <f t="shared" si="75"/>
        <v>0</v>
      </c>
    </row>
    <row r="655" spans="1:16" x14ac:dyDescent="0.25">
      <c r="A655" s="2">
        <f>'Historical Prices'!A653</f>
        <v>46071</v>
      </c>
      <c r="B655" s="3">
        <f>'Historical Prices'!C653/'Historical Prices'!C652-1</f>
        <v>-1.080234977414718E-3</v>
      </c>
      <c r="C655" s="3">
        <f>'Historical Prices'!B653/'Historical Prices'!B652-1</f>
        <v>1.458889570780797E-2</v>
      </c>
      <c r="D655" s="3">
        <f>'Historical Prices'!D653/'Historical Prices'!D652-1</f>
        <v>4.9729544220711297E-4</v>
      </c>
      <c r="E655" s="3">
        <f>'Historical Prices'!E653/'Historical Prices'!E652-1</f>
        <v>-1.2579114746727016E-2</v>
      </c>
      <c r="F655" s="3">
        <f>'Historical Prices'!F653/'Historical Prices'!F652-1</f>
        <v>1.1836539836210136E-2</v>
      </c>
      <c r="G655" s="9">
        <f t="shared" si="76"/>
        <v>2.5404677071820588E-3</v>
      </c>
      <c r="H655" s="6">
        <f t="shared" si="77"/>
        <v>2540.4677071820588</v>
      </c>
      <c r="I655" s="9">
        <f t="shared" si="68"/>
        <v>1.1468526435874982E-2</v>
      </c>
      <c r="J655">
        <f t="shared" si="69"/>
        <v>0</v>
      </c>
      <c r="K655" s="5">
        <f t="shared" si="70"/>
        <v>1.3876915620891103E-2</v>
      </c>
      <c r="L655">
        <f t="shared" si="71"/>
        <v>0</v>
      </c>
      <c r="M655" s="9">
        <f t="shared" si="72"/>
        <v>1.830498665272139E-2</v>
      </c>
      <c r="N655">
        <f t="shared" si="73"/>
        <v>0</v>
      </c>
      <c r="O655" s="5">
        <f t="shared" si="74"/>
        <v>1.9806910834932644E-2</v>
      </c>
      <c r="P655">
        <f t="shared" si="75"/>
        <v>0</v>
      </c>
    </row>
    <row r="656" spans="1:16" x14ac:dyDescent="0.25">
      <c r="A656" s="2">
        <f>'Historical Prices'!A654</f>
        <v>46072</v>
      </c>
      <c r="B656" s="3">
        <f>'Historical Prices'!C654/'Historical Prices'!C653-1</f>
        <v>-9.8410571542731917E-3</v>
      </c>
      <c r="C656" s="3">
        <f>'Historical Prices'!B654/'Historical Prices'!B653-1</f>
        <v>-1.4814813500476531E-2</v>
      </c>
      <c r="D656" s="3">
        <f>'Historical Prices'!D654/'Historical Prices'!D653-1</f>
        <v>-1.3776349086977224E-2</v>
      </c>
      <c r="E656" s="3">
        <f>'Historical Prices'!E654/'Historical Prices'!E653-1</f>
        <v>-2.3293707339959724E-3</v>
      </c>
      <c r="F656" s="3">
        <f>'Historical Prices'!F654/'Historical Prices'!F653-1</f>
        <v>-2.7956391902671074E-2</v>
      </c>
      <c r="G656" s="9">
        <f t="shared" si="76"/>
        <v>-1.3767008234619744E-2</v>
      </c>
      <c r="H656" s="6">
        <f t="shared" si="77"/>
        <v>-13767.008234619745</v>
      </c>
      <c r="I656" s="9">
        <f t="shared" si="68"/>
        <v>1.1468526435874982E-2</v>
      </c>
      <c r="J656">
        <f t="shared" si="69"/>
        <v>1</v>
      </c>
      <c r="K656" s="5">
        <f t="shared" si="70"/>
        <v>1.3845086251087907E-2</v>
      </c>
      <c r="L656">
        <f t="shared" si="71"/>
        <v>0</v>
      </c>
      <c r="M656" s="9">
        <f t="shared" si="72"/>
        <v>1.830498665272139E-2</v>
      </c>
      <c r="N656">
        <f t="shared" si="73"/>
        <v>0</v>
      </c>
      <c r="O656" s="5">
        <f t="shared" si="74"/>
        <v>1.9772691630238062E-2</v>
      </c>
      <c r="P656">
        <f t="shared" si="75"/>
        <v>0</v>
      </c>
    </row>
    <row r="657" spans="1:16" x14ac:dyDescent="0.25">
      <c r="A657" s="2">
        <f>'Historical Prices'!A655</f>
        <v>46073</v>
      </c>
      <c r="B657" s="3">
        <f>'Historical Prices'!C655/'Historical Prices'!C654-1</f>
        <v>-4.0957189738157762E-3</v>
      </c>
      <c r="C657" s="3">
        <f>'Historical Prices'!B655/'Historical Prices'!B654-1</f>
        <v>8.6245440332799461E-3</v>
      </c>
      <c r="D657" s="3">
        <f>'Historical Prices'!D655/'Historical Prices'!D654-1</f>
        <v>4.104170755059755E-3</v>
      </c>
      <c r="E657" s="3">
        <f>'Historical Prices'!E655/'Historical Prices'!E654-1</f>
        <v>-1.2623239952485155E-2</v>
      </c>
      <c r="F657" s="3">
        <f>'Historical Prices'!F655/'Historical Prices'!F654-1</f>
        <v>-5.5364370017593201E-3</v>
      </c>
      <c r="G657" s="9">
        <f t="shared" si="76"/>
        <v>-1.7312547726494689E-3</v>
      </c>
      <c r="H657" s="6">
        <f t="shared" si="77"/>
        <v>-1731.254772649469</v>
      </c>
      <c r="I657" s="9">
        <f t="shared" si="68"/>
        <v>1.1687495233038669E-2</v>
      </c>
      <c r="J657">
        <f t="shared" si="69"/>
        <v>0</v>
      </c>
      <c r="K657" s="5">
        <f t="shared" si="70"/>
        <v>1.3970522662565864E-2</v>
      </c>
      <c r="L657">
        <f t="shared" si="71"/>
        <v>0</v>
      </c>
      <c r="M657" s="9">
        <f t="shared" si="72"/>
        <v>1.830498665272139E-2</v>
      </c>
      <c r="N657">
        <f t="shared" si="73"/>
        <v>0</v>
      </c>
      <c r="O657" s="5">
        <f t="shared" si="74"/>
        <v>1.9929342971488004E-2</v>
      </c>
      <c r="P657">
        <f t="shared" si="75"/>
        <v>0</v>
      </c>
    </row>
    <row r="658" spans="1:16" x14ac:dyDescent="0.25">
      <c r="A658" s="2">
        <f>'Historical Prices'!A656</f>
        <v>46076</v>
      </c>
      <c r="B658" s="3">
        <f>'Historical Prices'!C656/'Historical Prices'!C655-1</f>
        <v>1.2885907866915458E-2</v>
      </c>
      <c r="C658" s="3">
        <f>'Historical Prices'!B656/'Historical Prices'!B655-1</f>
        <v>1.3447285633217732E-2</v>
      </c>
      <c r="D658" s="3">
        <f>'Historical Prices'!D656/'Historical Prices'!D655-1</f>
        <v>3.5138729834585103E-3</v>
      </c>
      <c r="E658" s="3">
        <f>'Historical Prices'!E656/'Historical Prices'!E655-1</f>
        <v>-1.8991922391849436E-2</v>
      </c>
      <c r="F658" s="3">
        <f>'Historical Prices'!F656/'Historical Prices'!F655-1</f>
        <v>1.0050416537873641E-2</v>
      </c>
      <c r="G658" s="9">
        <f t="shared" si="76"/>
        <v>4.432405949805672E-3</v>
      </c>
      <c r="H658" s="6">
        <f t="shared" si="77"/>
        <v>4432.4059498056722</v>
      </c>
      <c r="I658" s="9">
        <f t="shared" si="68"/>
        <v>1.1687495233038669E-2</v>
      </c>
      <c r="J658">
        <f t="shared" si="69"/>
        <v>0</v>
      </c>
      <c r="K658" s="5">
        <f t="shared" si="70"/>
        <v>1.3916999198060508E-2</v>
      </c>
      <c r="L658">
        <f t="shared" si="71"/>
        <v>0</v>
      </c>
      <c r="M658" s="9">
        <f t="shared" si="72"/>
        <v>1.830498665272139E-2</v>
      </c>
      <c r="N658">
        <f t="shared" si="73"/>
        <v>0</v>
      </c>
      <c r="O658" s="5">
        <f t="shared" si="74"/>
        <v>1.9864564915643673E-2</v>
      </c>
      <c r="P658">
        <f t="shared" si="75"/>
        <v>0</v>
      </c>
    </row>
    <row r="659" spans="1:16" x14ac:dyDescent="0.25">
      <c r="A659" s="2">
        <f>'Historical Prices'!A657</f>
        <v>46077</v>
      </c>
      <c r="B659" s="3">
        <f>'Historical Prices'!C657/'Historical Prices'!C656-1</f>
        <v>-1.4183610096832222E-2</v>
      </c>
      <c r="C659" s="3">
        <f>'Historical Prices'!B657/'Historical Prices'!B656-1</f>
        <v>6.4901244743720277E-4</v>
      </c>
      <c r="D659" s="3">
        <f>'Historical Prices'!D657/'Historical Prices'!D656-1</f>
        <v>-1.0433102537313554E-2</v>
      </c>
      <c r="E659" s="3">
        <f>'Historical Prices'!E657/'Historical Prices'!E656-1</f>
        <v>-3.9171447443614782E-2</v>
      </c>
      <c r="F659" s="3">
        <f>'Historical Prices'!F657/'Historical Prices'!F656-1</f>
        <v>-4.0323951416590953E-3</v>
      </c>
      <c r="G659" s="9">
        <f t="shared" si="76"/>
        <v>-1.3239922248511886E-2</v>
      </c>
      <c r="H659" s="6">
        <f t="shared" si="77"/>
        <v>-13239.922248511886</v>
      </c>
      <c r="I659" s="9">
        <f t="shared" si="68"/>
        <v>1.1687495233038669E-2</v>
      </c>
      <c r="J659">
        <f t="shared" si="69"/>
        <v>1</v>
      </c>
      <c r="K659" s="5">
        <f t="shared" si="70"/>
        <v>1.3892307075999252E-2</v>
      </c>
      <c r="L659">
        <f t="shared" si="71"/>
        <v>0</v>
      </c>
      <c r="M659" s="9">
        <f t="shared" si="72"/>
        <v>1.830498665272139E-2</v>
      </c>
      <c r="N659">
        <f t="shared" si="73"/>
        <v>0</v>
      </c>
      <c r="O659" s="5">
        <f t="shared" si="74"/>
        <v>1.9841040998925575E-2</v>
      </c>
      <c r="P659">
        <f t="shared" si="75"/>
        <v>0</v>
      </c>
    </row>
    <row r="660" spans="1:16" x14ac:dyDescent="0.25">
      <c r="A660" s="2">
        <f>'Historical Prices'!A658</f>
        <v>46078</v>
      </c>
      <c r="B660" s="3">
        <f>'Historical Prices'!C658/'Historical Prices'!C657-1</f>
        <v>-3.1850946754928833E-3</v>
      </c>
      <c r="C660" s="3">
        <f>'Historical Prices'!B658/'Historical Prices'!B657-1</f>
        <v>1.1098336490891869E-2</v>
      </c>
      <c r="D660" s="3">
        <f>'Historical Prices'!D658/'Historical Prices'!D657-1</f>
        <v>1.133736132535601E-2</v>
      </c>
      <c r="E660" s="3">
        <f>'Historical Prices'!E658/'Historical Prices'!E657-1</f>
        <v>1.1446503898235871E-2</v>
      </c>
      <c r="F660" s="3">
        <f>'Historical Prices'!F658/'Historical Prices'!F657-1</f>
        <v>1.6922954653144195E-2</v>
      </c>
      <c r="G660" s="9">
        <f t="shared" si="76"/>
        <v>9.3339980069147531E-3</v>
      </c>
      <c r="H660" s="6">
        <f t="shared" si="77"/>
        <v>9333.9980069147532</v>
      </c>
      <c r="I660" s="9">
        <f t="shared" si="68"/>
        <v>1.1982842214232677E-2</v>
      </c>
      <c r="J660">
        <f t="shared" si="69"/>
        <v>0</v>
      </c>
      <c r="K660" s="5">
        <f t="shared" si="70"/>
        <v>1.4018862330664643E-2</v>
      </c>
      <c r="L660">
        <f t="shared" si="71"/>
        <v>0</v>
      </c>
      <c r="M660" s="9">
        <f t="shared" si="72"/>
        <v>1.830498665272139E-2</v>
      </c>
      <c r="N660">
        <f t="shared" si="73"/>
        <v>0</v>
      </c>
      <c r="O660" s="5">
        <f t="shared" si="74"/>
        <v>1.999683658432104E-2</v>
      </c>
      <c r="P660">
        <f t="shared" si="75"/>
        <v>0</v>
      </c>
    </row>
    <row r="661" spans="1:16" x14ac:dyDescent="0.25">
      <c r="A661" s="2">
        <f>'Historical Prices'!A659</f>
        <v>46079</v>
      </c>
      <c r="B661" s="3">
        <f>'Historical Prices'!C659/'Historical Prices'!C658-1</f>
        <v>-9.9162739086541274E-3</v>
      </c>
      <c r="C661" s="3">
        <f>'Historical Prices'!B659/'Historical Prices'!B658-1</f>
        <v>-5.3457180052559616E-3</v>
      </c>
      <c r="D661" s="3">
        <f>'Historical Prices'!D659/'Historical Prices'!D658-1</f>
        <v>3.1417822406680784E-3</v>
      </c>
      <c r="E661" s="3">
        <f>'Historical Prices'!E659/'Historical Prices'!E658-1</f>
        <v>-7.7508686376703828E-4</v>
      </c>
      <c r="F661" s="3">
        <f>'Historical Prices'!F659/'Historical Prices'!F658-1</f>
        <v>-1.9189852845054034E-3</v>
      </c>
      <c r="G661" s="9">
        <f t="shared" si="76"/>
        <v>-2.8689369654292187E-3</v>
      </c>
      <c r="H661" s="6">
        <f t="shared" si="77"/>
        <v>-2868.9369654292186</v>
      </c>
      <c r="I661" s="9">
        <f t="shared" si="68"/>
        <v>1.1982842214232677E-2</v>
      </c>
      <c r="J661">
        <f t="shared" si="69"/>
        <v>0</v>
      </c>
      <c r="K661" s="5">
        <f t="shared" si="70"/>
        <v>1.4016171974011849E-2</v>
      </c>
      <c r="L661">
        <f t="shared" si="71"/>
        <v>0</v>
      </c>
      <c r="M661" s="9">
        <f t="shared" si="72"/>
        <v>1.830498665272139E-2</v>
      </c>
      <c r="N661">
        <f t="shared" si="73"/>
        <v>0</v>
      </c>
      <c r="O661" s="5">
        <f t="shared" si="74"/>
        <v>2.000640401323563E-2</v>
      </c>
      <c r="P661">
        <f t="shared" si="75"/>
        <v>0</v>
      </c>
    </row>
    <row r="662" spans="1:16" x14ac:dyDescent="0.25">
      <c r="A662" s="2">
        <f>'Historical Prices'!A660</f>
        <v>46080</v>
      </c>
      <c r="B662" s="3">
        <f>'Historical Prices'!C660/'Historical Prices'!C659-1</f>
        <v>-1.2074263837782429E-2</v>
      </c>
      <c r="C662" s="3">
        <f>'Historical Prices'!B660/'Historical Prices'!B659-1</f>
        <v>-8.3124356677848343E-3</v>
      </c>
      <c r="D662" s="3">
        <f>'Historical Prices'!D660/'Historical Prices'!D659-1</f>
        <v>-1.8506621467999529E-2</v>
      </c>
      <c r="E662" s="3">
        <f>'Historical Prices'!E660/'Historical Prices'!E659-1</f>
        <v>8.533052700256949E-3</v>
      </c>
      <c r="F662" s="3">
        <f>'Historical Prices'!F660/'Historical Prices'!F659-1</f>
        <v>-2.5024508670798529E-2</v>
      </c>
      <c r="G662" s="9">
        <f t="shared" si="76"/>
        <v>-1.1551409853951047E-2</v>
      </c>
      <c r="H662" s="6">
        <f t="shared" si="77"/>
        <v>-11551.409853951047</v>
      </c>
      <c r="I662" s="9">
        <f t="shared" si="68"/>
        <v>1.1687495233038669E-2</v>
      </c>
      <c r="J662">
        <f t="shared" si="69"/>
        <v>0</v>
      </c>
      <c r="K662" s="5">
        <f t="shared" si="70"/>
        <v>1.3857132435607549E-2</v>
      </c>
      <c r="L662">
        <f t="shared" si="71"/>
        <v>0</v>
      </c>
      <c r="M662" s="9">
        <f t="shared" si="72"/>
        <v>1.830498665272139E-2</v>
      </c>
      <c r="N662">
        <f t="shared" si="73"/>
        <v>0</v>
      </c>
      <c r="O662" s="5">
        <f t="shared" si="74"/>
        <v>1.9804073941118442E-2</v>
      </c>
      <c r="P662">
        <f t="shared" si="75"/>
        <v>0</v>
      </c>
    </row>
    <row r="663" spans="1:16" x14ac:dyDescent="0.25">
      <c r="A663" s="2">
        <f>'Historical Prices'!A661</f>
        <v>46083</v>
      </c>
      <c r="B663" s="3">
        <f>'Historical Prices'!C661/'Historical Prices'!C660-1</f>
        <v>-9.405834929033241E-3</v>
      </c>
      <c r="C663" s="3">
        <f>'Historical Prices'!B661/'Historical Prices'!B660-1</f>
        <v>-8.3820231543091372E-3</v>
      </c>
      <c r="D663" s="3">
        <f>'Historical Prices'!D661/'Historical Prices'!D660-1</f>
        <v>-3.5536264514226534E-3</v>
      </c>
      <c r="E663" s="3">
        <f>'Historical Prices'!E661/'Historical Prices'!E660-1</f>
        <v>-8.6147191628607178E-3</v>
      </c>
      <c r="F663" s="3">
        <f>'Historical Prices'!F661/'Historical Prices'!F660-1</f>
        <v>-1.8572982961749251E-2</v>
      </c>
      <c r="G663" s="9">
        <f t="shared" si="76"/>
        <v>-9.5058907004634853E-3</v>
      </c>
      <c r="H663" s="6">
        <f t="shared" si="77"/>
        <v>-9505.8907004634857</v>
      </c>
      <c r="I663" s="9">
        <f t="shared" si="68"/>
        <v>1.1717288434793138E-2</v>
      </c>
      <c r="J663">
        <f t="shared" si="69"/>
        <v>0</v>
      </c>
      <c r="K663" s="5">
        <f t="shared" si="70"/>
        <v>1.391179195010505E-2</v>
      </c>
      <c r="L663">
        <f t="shared" si="71"/>
        <v>0</v>
      </c>
      <c r="M663" s="9">
        <f t="shared" si="72"/>
        <v>1.830498665272139E-2</v>
      </c>
      <c r="N663">
        <f t="shared" si="73"/>
        <v>0</v>
      </c>
      <c r="O663" s="5">
        <f t="shared" si="74"/>
        <v>1.9873340612841128E-2</v>
      </c>
      <c r="P663">
        <f t="shared" si="75"/>
        <v>0</v>
      </c>
    </row>
    <row r="664" spans="1:16" x14ac:dyDescent="0.25">
      <c r="A664" s="2">
        <f>'Historical Prices'!A662</f>
        <v>46085</v>
      </c>
      <c r="B664" s="3">
        <f>'Historical Prices'!C662/'Historical Prices'!C661-1</f>
        <v>-1.2224220058820401E-2</v>
      </c>
      <c r="C664" s="3">
        <f>'Historical Prices'!B662/'Historical Prices'!B661-1</f>
        <v>-1.5302826375947931E-2</v>
      </c>
      <c r="D664" s="3">
        <f>'Historical Prices'!D662/'Historical Prices'!D661-1</f>
        <v>-6.2590773509677566E-3</v>
      </c>
      <c r="E664" s="3">
        <f>'Historical Prices'!E662/'Historical Prices'!E661-1</f>
        <v>1.4353327640717506E-2</v>
      </c>
      <c r="F664" s="3">
        <f>'Historical Prices'!F662/'Historical Prices'!F661-1</f>
        <v>-2.0993889841344204E-2</v>
      </c>
      <c r="G664" s="9">
        <f t="shared" si="76"/>
        <v>-8.2273889691777437E-3</v>
      </c>
      <c r="H664" s="6">
        <f t="shared" si="77"/>
        <v>-8227.388969177744</v>
      </c>
      <c r="I664" s="9">
        <f t="shared" si="68"/>
        <v>1.1717288434793138E-2</v>
      </c>
      <c r="J664">
        <f t="shared" si="69"/>
        <v>0</v>
      </c>
      <c r="K664" s="5">
        <f t="shared" si="70"/>
        <v>1.3999098416995145E-2</v>
      </c>
      <c r="L664">
        <f t="shared" si="71"/>
        <v>0</v>
      </c>
      <c r="M664" s="9">
        <f t="shared" si="72"/>
        <v>1.830498665272139E-2</v>
      </c>
      <c r="N664">
        <f t="shared" si="73"/>
        <v>0</v>
      </c>
      <c r="O664" s="5">
        <f t="shared" si="74"/>
        <v>1.9969734232048234E-2</v>
      </c>
      <c r="P664">
        <f t="shared" si="75"/>
        <v>0</v>
      </c>
    </row>
    <row r="665" spans="1:16" x14ac:dyDescent="0.25">
      <c r="A665" s="2">
        <f>'Historical Prices'!A663</f>
        <v>46086</v>
      </c>
      <c r="B665" s="3">
        <f>'Historical Prices'!C663/'Historical Prices'!C662-1</f>
        <v>1.0475984155599027E-2</v>
      </c>
      <c r="C665" s="3">
        <f>'Historical Prices'!B663/'Historical Prices'!B662-1</f>
        <v>-1.628106015205244E-3</v>
      </c>
      <c r="D665" s="3">
        <f>'Historical Prices'!D663/'Historical Prices'!D662-1</f>
        <v>-5.7126644462369702E-3</v>
      </c>
      <c r="E665" s="3">
        <f>'Historical Prices'!E663/'Historical Prices'!E662-1</f>
        <v>-1.2237480572800941E-3</v>
      </c>
      <c r="F665" s="3">
        <f>'Historical Prices'!F663/'Historical Prices'!F662-1</f>
        <v>2.5641000448848983E-2</v>
      </c>
      <c r="G665" s="9">
        <f t="shared" si="76"/>
        <v>5.3255036709184298E-3</v>
      </c>
      <c r="H665" s="6">
        <f t="shared" si="77"/>
        <v>5325.5036709184296</v>
      </c>
      <c r="I665" s="9">
        <f t="shared" si="68"/>
        <v>1.1717288434793138E-2</v>
      </c>
      <c r="J665">
        <f t="shared" si="69"/>
        <v>0</v>
      </c>
      <c r="K665" s="5">
        <f t="shared" si="70"/>
        <v>1.4057474211249582E-2</v>
      </c>
      <c r="L665">
        <f t="shared" si="71"/>
        <v>0</v>
      </c>
      <c r="M665" s="9">
        <f t="shared" si="72"/>
        <v>1.830498665272139E-2</v>
      </c>
      <c r="N665">
        <f t="shared" si="73"/>
        <v>0</v>
      </c>
      <c r="O665" s="5">
        <f t="shared" si="74"/>
        <v>2.0039574799222581E-2</v>
      </c>
      <c r="P665">
        <f t="shared" si="75"/>
        <v>0</v>
      </c>
    </row>
    <row r="666" spans="1:16" x14ac:dyDescent="0.25">
      <c r="A666" s="2">
        <f>'Historical Prices'!A664</f>
        <v>46087</v>
      </c>
      <c r="B666" s="3">
        <f>'Historical Prices'!C664/'Historical Prices'!C663-1</f>
        <v>-2.3583044150976562E-2</v>
      </c>
      <c r="C666" s="3">
        <f>'Historical Prices'!B664/'Historical Prices'!B663-1</f>
        <v>-2.4683088675405807E-2</v>
      </c>
      <c r="D666" s="3">
        <f>'Historical Prices'!D664/'Historical Prices'!D663-1</f>
        <v>-3.2557424262249279E-2</v>
      </c>
      <c r="E666" s="3">
        <f>'Historical Prices'!E664/'Historical Prices'!E663-1</f>
        <v>1.9911106764523012E-3</v>
      </c>
      <c r="F666" s="3">
        <f>'Historical Prices'!F664/'Historical Prices'!F663-1</f>
        <v>-4.6296142781465655E-3</v>
      </c>
      <c r="G666" s="9">
        <f t="shared" si="76"/>
        <v>-1.7463764408238307E-2</v>
      </c>
      <c r="H666" s="6">
        <f t="shared" si="77"/>
        <v>-17463.764408238309</v>
      </c>
      <c r="I666" s="9">
        <f t="shared" si="68"/>
        <v>1.1521616652196578E-2</v>
      </c>
      <c r="J666">
        <f t="shared" si="69"/>
        <v>1</v>
      </c>
      <c r="K666" s="5">
        <f t="shared" si="70"/>
        <v>1.3849995711326583E-2</v>
      </c>
      <c r="L666">
        <f t="shared" si="71"/>
        <v>1</v>
      </c>
      <c r="M666" s="9">
        <f t="shared" si="72"/>
        <v>1.830498665272139E-2</v>
      </c>
      <c r="N666">
        <f t="shared" si="73"/>
        <v>0</v>
      </c>
      <c r="O666" s="5">
        <f t="shared" si="74"/>
        <v>1.9784322270966628E-2</v>
      </c>
      <c r="P666">
        <f t="shared" si="75"/>
        <v>0</v>
      </c>
    </row>
    <row r="667" spans="1:16" x14ac:dyDescent="0.25">
      <c r="A667" s="2">
        <f>'Historical Prices'!A665</f>
        <v>46090</v>
      </c>
      <c r="B667" s="3">
        <f>'Historical Prices'!C665/'Historical Prices'!C664-1</f>
        <v>-1.9077000370653519E-2</v>
      </c>
      <c r="C667" s="3">
        <f>'Historical Prices'!B665/'Historical Prices'!B664-1</f>
        <v>-2.0899796271877213E-2</v>
      </c>
      <c r="D667" s="3">
        <f>'Historical Prices'!D665/'Historical Prices'!D664-1</f>
        <v>-2.6648392640502783E-2</v>
      </c>
      <c r="E667" s="3">
        <f>'Historical Prices'!E665/'Historical Prices'!E664-1</f>
        <v>5.0443287474124521E-3</v>
      </c>
      <c r="F667" s="3">
        <f>'Historical Prices'!F665/'Historical Prices'!F664-1</f>
        <v>-4.3480839039492292E-2</v>
      </c>
      <c r="G667" s="9">
        <f t="shared" si="76"/>
        <v>-2.1405697319573223E-2</v>
      </c>
      <c r="H667" s="6">
        <f t="shared" si="77"/>
        <v>-21405.697319573224</v>
      </c>
      <c r="I667" s="9">
        <f t="shared" si="68"/>
        <v>1.1717288434793138E-2</v>
      </c>
      <c r="J667">
        <f t="shared" si="69"/>
        <v>1</v>
      </c>
      <c r="K667" s="5">
        <f t="shared" si="70"/>
        <v>1.4038227451854682E-2</v>
      </c>
      <c r="L667">
        <f t="shared" si="71"/>
        <v>1</v>
      </c>
      <c r="M667" s="9">
        <f t="shared" si="72"/>
        <v>1.830498665272139E-2</v>
      </c>
      <c r="N667">
        <f t="shared" si="73"/>
        <v>1</v>
      </c>
      <c r="O667" s="5">
        <f t="shared" si="74"/>
        <v>2.0022552524495685E-2</v>
      </c>
      <c r="P667">
        <f t="shared" si="75"/>
        <v>1</v>
      </c>
    </row>
    <row r="668" spans="1:16" x14ac:dyDescent="0.25">
      <c r="A668" s="2">
        <f>'Historical Prices'!A666</f>
        <v>46091</v>
      </c>
      <c r="B668" s="3">
        <f>'Historical Prices'!C666/'Historical Prices'!C665-1</f>
        <v>1.0407957360046627E-2</v>
      </c>
      <c r="C668" s="3">
        <f>'Historical Prices'!B666/'Historical Prices'!B665-1</f>
        <v>2.0492012751075039E-2</v>
      </c>
      <c r="D668" s="3">
        <f>'Historical Prices'!D666/'Historical Prices'!D665-1</f>
        <v>2.6204656074120702E-2</v>
      </c>
      <c r="E668" s="3">
        <f>'Historical Prices'!E666/'Historical Prices'!E665-1</f>
        <v>-1.4752888477840731E-2</v>
      </c>
      <c r="F668" s="3">
        <f>'Historical Prices'!F666/'Historical Prices'!F665-1</f>
        <v>3.3285211671204573E-2</v>
      </c>
      <c r="G668" s="9">
        <f t="shared" si="76"/>
        <v>1.5648318430462094E-2</v>
      </c>
      <c r="H668" s="6">
        <f t="shared" si="77"/>
        <v>15648.318430462094</v>
      </c>
      <c r="I668" s="9">
        <f t="shared" si="68"/>
        <v>1.1982842214232677E-2</v>
      </c>
      <c r="J668">
        <f t="shared" si="69"/>
        <v>0</v>
      </c>
      <c r="K668" s="5">
        <f t="shared" si="70"/>
        <v>1.4295131317624237E-2</v>
      </c>
      <c r="L668">
        <f t="shared" si="71"/>
        <v>0</v>
      </c>
      <c r="M668" s="9">
        <f t="shared" si="72"/>
        <v>1.830498665272139E-2</v>
      </c>
      <c r="N668">
        <f t="shared" si="73"/>
        <v>0</v>
      </c>
      <c r="O668" s="5">
        <f t="shared" si="74"/>
        <v>2.0352474036417652E-2</v>
      </c>
      <c r="P668">
        <f t="shared" si="75"/>
        <v>0</v>
      </c>
    </row>
    <row r="669" spans="1:16" x14ac:dyDescent="0.25">
      <c r="A669" s="2">
        <f>'Historical Prices'!A667</f>
        <v>46092</v>
      </c>
      <c r="B669" s="3">
        <f>'Historical Prices'!C667/'Historical Prices'!C666-1</f>
        <v>-1.8247092896708117E-2</v>
      </c>
      <c r="C669" s="3">
        <f>'Historical Prices'!B667/'Historical Prices'!B666-1</f>
        <v>-4.4801008611818793E-2</v>
      </c>
      <c r="D669" s="3">
        <f>'Historical Prices'!D667/'Historical Prices'!D666-1</f>
        <v>-1.3186998996644772E-2</v>
      </c>
      <c r="E669" s="3">
        <f>'Historical Prices'!E667/'Historical Prices'!E666-1</f>
        <v>-1.4896500050198491E-2</v>
      </c>
      <c r="F669" s="3">
        <f>'Historical Prices'!F667/'Historical Prices'!F666-1</f>
        <v>-3.8103057856043288E-2</v>
      </c>
      <c r="G669" s="9">
        <f t="shared" si="76"/>
        <v>-2.5199185597974336E-2</v>
      </c>
      <c r="H669" s="6">
        <f t="shared" si="77"/>
        <v>-25199.185597974334</v>
      </c>
      <c r="I669" s="9">
        <f t="shared" si="68"/>
        <v>1.1982842214232677E-2</v>
      </c>
      <c r="J669">
        <f t="shared" si="69"/>
        <v>1</v>
      </c>
      <c r="K669" s="5">
        <f t="shared" si="70"/>
        <v>1.4318182895687934E-2</v>
      </c>
      <c r="L669">
        <f t="shared" si="71"/>
        <v>1</v>
      </c>
      <c r="M669" s="9">
        <f t="shared" si="72"/>
        <v>1.830498665272139E-2</v>
      </c>
      <c r="N669">
        <f t="shared" si="73"/>
        <v>1</v>
      </c>
      <c r="O669" s="5">
        <f t="shared" si="74"/>
        <v>2.0391525757766291E-2</v>
      </c>
      <c r="P669">
        <f t="shared" si="75"/>
        <v>1</v>
      </c>
    </row>
    <row r="670" spans="1:16" x14ac:dyDescent="0.25">
      <c r="A670" s="2">
        <f>'Historical Prices'!A668</f>
        <v>46093</v>
      </c>
      <c r="B670" s="3">
        <f>'Historical Prices'!C668/'Historical Prices'!C667-1</f>
        <v>-1.4389417316761355E-3</v>
      </c>
      <c r="C670" s="3">
        <f>'Historical Prices'!B668/'Historical Prices'!B667-1</f>
        <v>-1.6961286184093094E-2</v>
      </c>
      <c r="D670" s="3">
        <f>'Historical Prices'!D668/'Historical Prices'!D667-1</f>
        <v>-2.170556891314368E-2</v>
      </c>
      <c r="E670" s="3">
        <f>'Historical Prices'!E668/'Historical Prices'!E667-1</f>
        <v>-8.2268963834538633E-3</v>
      </c>
      <c r="F670" s="3">
        <f>'Historical Prices'!F668/'Historical Prices'!F667-1</f>
        <v>-4.3242273879804283E-2</v>
      </c>
      <c r="G670" s="9">
        <f t="shared" si="76"/>
        <v>-1.8238256601545121E-2</v>
      </c>
      <c r="H670" s="6">
        <f t="shared" si="77"/>
        <v>-18238.256601545119</v>
      </c>
      <c r="I670" s="9">
        <f t="shared" si="68"/>
        <v>1.2097122754678759E-2</v>
      </c>
      <c r="J670">
        <f t="shared" si="69"/>
        <v>1</v>
      </c>
      <c r="K670" s="5">
        <f t="shared" si="70"/>
        <v>1.4669692370786235E-2</v>
      </c>
      <c r="L670">
        <f t="shared" si="71"/>
        <v>1</v>
      </c>
      <c r="M670" s="9">
        <f t="shared" si="72"/>
        <v>1.830498665272139E-2</v>
      </c>
      <c r="N670">
        <f t="shared" si="73"/>
        <v>0</v>
      </c>
      <c r="O670" s="5">
        <f t="shared" si="74"/>
        <v>2.0837389207927617E-2</v>
      </c>
      <c r="P670">
        <f t="shared" si="75"/>
        <v>0</v>
      </c>
    </row>
    <row r="671" spans="1:16" x14ac:dyDescent="0.25">
      <c r="A671" s="2">
        <f>'Historical Prices'!A669</f>
        <v>46094</v>
      </c>
      <c r="B671" s="3">
        <f>'Historical Prices'!C669/'Historical Prices'!C668-1</f>
        <v>-1.8913204329647049E-2</v>
      </c>
      <c r="C671" s="3">
        <f>'Historical Prices'!B669/'Historical Prices'!B668-1</f>
        <v>-3.0133700060889224E-2</v>
      </c>
      <c r="D671" s="3">
        <f>'Historical Prices'!D669/'Historical Prices'!D668-1</f>
        <v>-9.2379489156315664E-3</v>
      </c>
      <c r="E671" s="3">
        <f>'Historical Prices'!E669/'Historical Prices'!E668-1</f>
        <v>-1.3825298412313392E-2</v>
      </c>
      <c r="F671" s="3">
        <f>'Historical Prices'!F669/'Historical Prices'!F668-1</f>
        <v>-3.3023175750492517E-2</v>
      </c>
      <c r="G671" s="9">
        <f t="shared" si="76"/>
        <v>-2.0559231668123162E-2</v>
      </c>
      <c r="H671" s="6">
        <f t="shared" si="77"/>
        <v>-20559.23166812316</v>
      </c>
      <c r="I671" s="9">
        <f t="shared" si="68"/>
        <v>1.2479130161226036E-2</v>
      </c>
      <c r="J671">
        <f t="shared" si="69"/>
        <v>1</v>
      </c>
      <c r="K671" s="5">
        <f t="shared" si="70"/>
        <v>1.4840142752646111E-2</v>
      </c>
      <c r="L671">
        <f t="shared" si="71"/>
        <v>1</v>
      </c>
      <c r="M671" s="9">
        <f t="shared" si="72"/>
        <v>1.830498665272139E-2</v>
      </c>
      <c r="N671">
        <f t="shared" si="73"/>
        <v>1</v>
      </c>
      <c r="O671" s="5">
        <f t="shared" si="74"/>
        <v>2.105568278228271E-2</v>
      </c>
      <c r="P671">
        <f t="shared" si="75"/>
        <v>0</v>
      </c>
    </row>
    <row r="672" spans="1:16" x14ac:dyDescent="0.25">
      <c r="A672" s="2">
        <f>'Historical Prices'!A670</f>
        <v>46097</v>
      </c>
      <c r="B672" s="3">
        <f>'Historical Prices'!C670/'Historical Prices'!C669-1</f>
        <v>2.8886147550208685E-2</v>
      </c>
      <c r="C672" s="3">
        <f>'Historical Prices'!B670/'Historical Prices'!B669-1</f>
        <v>1.4532703352599263E-2</v>
      </c>
      <c r="D672" s="3">
        <f>'Historical Prices'!D670/'Historical Prices'!D669-1</f>
        <v>1.442454799371351E-2</v>
      </c>
      <c r="E672" s="3">
        <f>'Historical Prices'!E670/'Historical Prices'!E669-1</f>
        <v>1.2016614257990277E-3</v>
      </c>
      <c r="F672" s="3">
        <f>'Historical Prices'!F670/'Historical Prices'!F669-1</f>
        <v>3.5822775104185078E-2</v>
      </c>
      <c r="G672" s="9">
        <f t="shared" si="76"/>
        <v>1.918270615508768E-2</v>
      </c>
      <c r="H672" s="6">
        <f t="shared" si="77"/>
        <v>19182.706155087679</v>
      </c>
      <c r="I672" s="9">
        <f t="shared" si="68"/>
        <v>1.3035788423162789E-2</v>
      </c>
      <c r="J672">
        <f t="shared" si="69"/>
        <v>0</v>
      </c>
      <c r="K672" s="5">
        <f t="shared" si="70"/>
        <v>1.5073983244502275E-2</v>
      </c>
      <c r="L672">
        <f t="shared" si="71"/>
        <v>0</v>
      </c>
      <c r="M672" s="9">
        <f t="shared" si="72"/>
        <v>1.830498665272139E-2</v>
      </c>
      <c r="N672">
        <f t="shared" si="73"/>
        <v>0</v>
      </c>
      <c r="O672" s="5">
        <f t="shared" si="74"/>
        <v>2.135329602535482E-2</v>
      </c>
      <c r="P672">
        <f t="shared" si="75"/>
        <v>0</v>
      </c>
    </row>
    <row r="673" spans="1:16" x14ac:dyDescent="0.25">
      <c r="A673" s="2">
        <f>'Historical Prices'!A671</f>
        <v>46098</v>
      </c>
      <c r="B673" s="3">
        <f>'Historical Prices'!C671/'Historical Prices'!C670-1</f>
        <v>5.6506682863521895E-3</v>
      </c>
      <c r="C673" s="3">
        <f>'Historical Prices'!B671/'Historical Prices'!B670-1</f>
        <v>1.1031509720155208E-2</v>
      </c>
      <c r="D673" s="3">
        <f>'Historical Prices'!D671/'Historical Prices'!D670-1</f>
        <v>1.2412549507166748E-2</v>
      </c>
      <c r="E673" s="3">
        <f>'Historical Prices'!E671/'Historical Prices'!E670-1</f>
        <v>-1.3522223163531799E-2</v>
      </c>
      <c r="F673" s="3">
        <f>'Historical Prices'!F671/'Historical Prices'!F670-1</f>
        <v>3.0565480649939136E-2</v>
      </c>
      <c r="G673" s="9">
        <f t="shared" si="76"/>
        <v>9.4603326144433383E-3</v>
      </c>
      <c r="H673" s="6">
        <f t="shared" si="77"/>
        <v>9460.3326144433377</v>
      </c>
      <c r="I673" s="9">
        <f t="shared" si="68"/>
        <v>1.3035788423162789E-2</v>
      </c>
      <c r="J673">
        <f t="shared" si="69"/>
        <v>0</v>
      </c>
      <c r="K673" s="5">
        <f t="shared" si="70"/>
        <v>1.5099642554530921E-2</v>
      </c>
      <c r="L673">
        <f t="shared" si="71"/>
        <v>0</v>
      </c>
      <c r="M673" s="9">
        <f t="shared" si="72"/>
        <v>1.830498665272139E-2</v>
      </c>
      <c r="N673">
        <f t="shared" si="73"/>
        <v>0</v>
      </c>
      <c r="O673" s="5">
        <f t="shared" si="74"/>
        <v>2.1429187850950684E-2</v>
      </c>
      <c r="P673">
        <f t="shared" si="75"/>
        <v>0</v>
      </c>
    </row>
    <row r="674" spans="1:16" x14ac:dyDescent="0.25">
      <c r="A674" s="2">
        <f>'Historical Prices'!A672</f>
        <v>46099</v>
      </c>
      <c r="B674" s="3">
        <f>'Historical Prices'!C672/'Historical Prices'!C671-1</f>
        <v>-2.7207607032612158E-3</v>
      </c>
      <c r="C674" s="3">
        <f>'Historical Prices'!B672/'Historical Prices'!B671-1</f>
        <v>2.0438100986766017E-2</v>
      </c>
      <c r="D674" s="3">
        <f>'Historical Prices'!D672/'Historical Prices'!D671-1</f>
        <v>4.6567061870605997E-4</v>
      </c>
      <c r="E674" s="3">
        <f>'Historical Prices'!E672/'Historical Prices'!E671-1</f>
        <v>2.7739457555591374E-2</v>
      </c>
      <c r="F674" s="3">
        <f>'Historical Prices'!F672/'Historical Prices'!F671-1</f>
        <v>2.7389881056102405E-2</v>
      </c>
      <c r="G674" s="9">
        <f t="shared" si="76"/>
        <v>1.3693993787998654E-2</v>
      </c>
      <c r="H674" s="6">
        <f t="shared" si="77"/>
        <v>13693.993787998654</v>
      </c>
      <c r="I674" s="9">
        <f t="shared" si="68"/>
        <v>1.3035788423162789E-2</v>
      </c>
      <c r="J674">
        <f t="shared" si="69"/>
        <v>0</v>
      </c>
      <c r="K674" s="5">
        <f t="shared" si="70"/>
        <v>1.5046294633783094E-2</v>
      </c>
      <c r="L674">
        <f t="shared" si="71"/>
        <v>0</v>
      </c>
      <c r="M674" s="9">
        <f t="shared" si="72"/>
        <v>1.830498665272139E-2</v>
      </c>
      <c r="N674">
        <f t="shared" si="73"/>
        <v>0</v>
      </c>
      <c r="O674" s="5">
        <f t="shared" si="74"/>
        <v>2.1380914900018776E-2</v>
      </c>
      <c r="P674">
        <f t="shared" si="75"/>
        <v>0</v>
      </c>
    </row>
    <row r="675" spans="1:16" x14ac:dyDescent="0.25">
      <c r="A675" s="2">
        <f>'Historical Prices'!A673</f>
        <v>46100</v>
      </c>
      <c r="B675" s="3">
        <f>'Historical Prices'!C673/'Historical Prices'!C672-1</f>
        <v>-5.3199650627666184E-2</v>
      </c>
      <c r="C675" s="3">
        <f>'Historical Prices'!B673/'Historical Prices'!B672-1</f>
        <v>-3.6865649220928942E-2</v>
      </c>
      <c r="D675" s="3">
        <f>'Historical Prices'!D673/'Historical Prices'!D672-1</f>
        <v>-3.0404210643703466E-2</v>
      </c>
      <c r="E675" s="3">
        <f>'Historical Prices'!E673/'Historical Prices'!E672-1</f>
        <v>-3.6540048042256967E-2</v>
      </c>
      <c r="F675" s="3">
        <f>'Historical Prices'!F673/'Historical Prices'!F672-1</f>
        <v>-5.2634939570224915E-2</v>
      </c>
      <c r="G675" s="9">
        <f t="shared" si="76"/>
        <v>-4.1813942148001146E-2</v>
      </c>
      <c r="H675" s="6">
        <f t="shared" si="77"/>
        <v>-41813.942148001144</v>
      </c>
      <c r="I675" s="9">
        <f t="shared" si="68"/>
        <v>1.3035788423162789E-2</v>
      </c>
      <c r="J675">
        <f t="shared" si="69"/>
        <v>1</v>
      </c>
      <c r="K675" s="5">
        <f t="shared" si="70"/>
        <v>1.5047688327382465E-2</v>
      </c>
      <c r="L675">
        <f t="shared" si="71"/>
        <v>1</v>
      </c>
      <c r="M675" s="9">
        <f t="shared" si="72"/>
        <v>1.830498665272139E-2</v>
      </c>
      <c r="N675">
        <f t="shared" si="73"/>
        <v>1</v>
      </c>
      <c r="O675" s="5">
        <f t="shared" si="74"/>
        <v>2.1408249147264774E-2</v>
      </c>
      <c r="P675">
        <f t="shared" si="75"/>
        <v>1</v>
      </c>
    </row>
    <row r="676" spans="1:16" x14ac:dyDescent="0.25">
      <c r="A676" s="2">
        <f>'Historical Prices'!A674</f>
        <v>46101</v>
      </c>
      <c r="B676" s="3">
        <f>'Historical Prices'!C674/'Historical Prices'!C673-1</f>
        <v>-2.2237509259669497E-2</v>
      </c>
      <c r="C676" s="3">
        <f>'Historical Prices'!B674/'Historical Prices'!B673-1</f>
        <v>-2.5682876044879066E-3</v>
      </c>
      <c r="D676" s="3">
        <f>'Historical Prices'!D674/'Historical Prices'!D673-1</f>
        <v>-3.7596483773592038E-3</v>
      </c>
      <c r="E676" s="3">
        <f>'Historical Prices'!E674/'Historical Prices'!E673-1</f>
        <v>2.8751552640845501E-2</v>
      </c>
      <c r="F676" s="3">
        <f>'Historical Prices'!F674/'Historical Prices'!F673-1</f>
        <v>6.7972130349138737E-3</v>
      </c>
      <c r="G676" s="9">
        <f t="shared" si="76"/>
        <v>5.9593133761585483E-4</v>
      </c>
      <c r="H676" s="6">
        <f t="shared" si="77"/>
        <v>595.93133761585477</v>
      </c>
      <c r="I676" s="9">
        <f t="shared" si="68"/>
        <v>1.3461976525602581E-2</v>
      </c>
      <c r="J676">
        <f t="shared" si="69"/>
        <v>0</v>
      </c>
      <c r="K676" s="5">
        <f t="shared" si="70"/>
        <v>1.5818263906083575E-2</v>
      </c>
      <c r="L676">
        <f t="shared" si="71"/>
        <v>0</v>
      </c>
      <c r="M676" s="9">
        <f t="shared" si="72"/>
        <v>1.830498665272139E-2</v>
      </c>
      <c r="N676">
        <f t="shared" si="73"/>
        <v>0</v>
      </c>
      <c r="O676" s="5">
        <f t="shared" si="74"/>
        <v>2.2405617224686616E-2</v>
      </c>
      <c r="P676">
        <f t="shared" si="75"/>
        <v>0</v>
      </c>
    </row>
    <row r="677" spans="1:16" x14ac:dyDescent="0.25">
      <c r="A677" s="2">
        <f>'Historical Prices'!A675</f>
        <v>46104</v>
      </c>
      <c r="B677" s="3">
        <f>'Historical Prices'!C675/'Historical Prices'!C674-1</f>
        <v>-4.6511579838086847E-2</v>
      </c>
      <c r="C677" s="3">
        <f>'Historical Prices'!B675/'Historical Prices'!B674-1</f>
        <v>-2.7660166687147547E-2</v>
      </c>
      <c r="D677" s="3">
        <f>'Historical Prices'!D675/'Historical Prices'!D674-1</f>
        <v>-1.8227097392761182E-2</v>
      </c>
      <c r="E677" s="3">
        <f>'Historical Prices'!E675/'Historical Prices'!E674-1</f>
        <v>7.1665368309004052E-4</v>
      </c>
      <c r="F677" s="3">
        <f>'Historical Prices'!F675/'Historical Prices'!F674-1</f>
        <v>-3.5974065818377476E-2</v>
      </c>
      <c r="G677" s="9">
        <f t="shared" si="76"/>
        <v>-2.5854611135222697E-2</v>
      </c>
      <c r="H677" s="6">
        <f t="shared" si="77"/>
        <v>-25854.611135222698</v>
      </c>
      <c r="I677" s="9">
        <f t="shared" si="68"/>
        <v>1.3461976525602581E-2</v>
      </c>
      <c r="J677">
        <f t="shared" si="69"/>
        <v>1</v>
      </c>
      <c r="K677" s="5">
        <f t="shared" si="70"/>
        <v>1.5815968072133951E-2</v>
      </c>
      <c r="L677">
        <f t="shared" si="71"/>
        <v>1</v>
      </c>
      <c r="M677" s="9">
        <f t="shared" si="72"/>
        <v>1.830498665272139E-2</v>
      </c>
      <c r="N677">
        <f t="shared" si="73"/>
        <v>1</v>
      </c>
      <c r="O677" s="5">
        <f t="shared" si="74"/>
        <v>2.2403357805821627E-2</v>
      </c>
      <c r="P677">
        <f t="shared" si="75"/>
        <v>1</v>
      </c>
    </row>
    <row r="678" spans="1:16" x14ac:dyDescent="0.25">
      <c r="A678" s="2">
        <f>'Historical Prices'!A676</f>
        <v>46105</v>
      </c>
      <c r="B678" s="3">
        <f>'Historical Prices'!C676/'Historical Prices'!C675-1</f>
        <v>2.7884110635976178E-2</v>
      </c>
      <c r="C678" s="3">
        <f>'Historical Prices'!B676/'Historical Prices'!B675-1</f>
        <v>1.8879136395585361E-2</v>
      </c>
      <c r="D678" s="3">
        <f>'Historical Prices'!D676/'Historical Prices'!D675-1</f>
        <v>2.3309054075455027E-2</v>
      </c>
      <c r="E678" s="3">
        <f>'Historical Prices'!E676/'Historical Prices'!E675-1</f>
        <v>1.7106994976597623E-2</v>
      </c>
      <c r="F678" s="3">
        <f>'Historical Prices'!F676/'Historical Prices'!F675-1</f>
        <v>2.5542984776820488E-2</v>
      </c>
      <c r="G678" s="9">
        <f t="shared" si="76"/>
        <v>2.2744811273080284E-2</v>
      </c>
      <c r="H678" s="6">
        <f t="shared" si="77"/>
        <v>22744.811273080286</v>
      </c>
      <c r="I678" s="9">
        <f t="shared" si="68"/>
        <v>1.3711500313036322E-2</v>
      </c>
      <c r="J678">
        <f t="shared" si="69"/>
        <v>0</v>
      </c>
      <c r="K678" s="5">
        <f t="shared" si="70"/>
        <v>1.6082180332681235E-2</v>
      </c>
      <c r="L678">
        <f t="shared" si="71"/>
        <v>0</v>
      </c>
      <c r="M678" s="9">
        <f t="shared" si="72"/>
        <v>2.0336155188062213E-2</v>
      </c>
      <c r="N678">
        <f t="shared" si="73"/>
        <v>0</v>
      </c>
      <c r="O678" s="5">
        <f t="shared" si="74"/>
        <v>2.2702471594542892E-2</v>
      </c>
      <c r="P678">
        <f t="shared" si="75"/>
        <v>0</v>
      </c>
    </row>
    <row r="679" spans="1:16" x14ac:dyDescent="0.25">
      <c r="A679" s="2">
        <f>'Historical Prices'!A677</f>
        <v>46106</v>
      </c>
      <c r="B679" s="3">
        <f>'Historical Prices'!C677/'Historical Prices'!C676-1</f>
        <v>2.2748052841367272E-2</v>
      </c>
      <c r="C679" s="3">
        <f>'Historical Prices'!B677/'Historical Prices'!B676-1</f>
        <v>2.4650038287145071E-2</v>
      </c>
      <c r="D679" s="3">
        <f>'Historical Prices'!D677/'Historical Prices'!D676-1</f>
        <v>6.7934909600335658E-3</v>
      </c>
      <c r="E679" s="3">
        <f>'Historical Prices'!E677/'Historical Prices'!E676-1</f>
        <v>6.2575426608502127E-4</v>
      </c>
      <c r="F679" s="3">
        <f>'Historical Prices'!F677/'Historical Prices'!F676-1</f>
        <v>3.1933550855603787E-2</v>
      </c>
      <c r="G679" s="9">
        <f t="shared" si="76"/>
        <v>1.7157138557849144E-2</v>
      </c>
      <c r="H679" s="6">
        <f t="shared" si="77"/>
        <v>17157.138557849143</v>
      </c>
      <c r="I679" s="9">
        <f t="shared" si="68"/>
        <v>1.3711500313036322E-2</v>
      </c>
      <c r="J679">
        <f t="shared" si="69"/>
        <v>0</v>
      </c>
      <c r="K679" s="5">
        <f t="shared" si="70"/>
        <v>1.6170237851793157E-2</v>
      </c>
      <c r="L679">
        <f t="shared" si="71"/>
        <v>0</v>
      </c>
      <c r="M679" s="9">
        <f t="shared" si="72"/>
        <v>2.0336155188062213E-2</v>
      </c>
      <c r="N679">
        <f t="shared" si="73"/>
        <v>0</v>
      </c>
      <c r="O679" s="5">
        <f t="shared" si="74"/>
        <v>2.2846581006146709E-2</v>
      </c>
      <c r="P679">
        <f t="shared" si="75"/>
        <v>0</v>
      </c>
    </row>
    <row r="680" spans="1:16" x14ac:dyDescent="0.25">
      <c r="A680" s="2">
        <f>'Historical Prices'!A678</f>
        <v>46108</v>
      </c>
      <c r="B680" s="3">
        <f>'Historical Prices'!C678/'Historical Prices'!C677-1</f>
        <v>-3.3363172606009073E-2</v>
      </c>
      <c r="C680" s="3">
        <f>'Historical Prices'!B678/'Historical Prices'!B677-1</f>
        <v>-1.382864468126288E-2</v>
      </c>
      <c r="D680" s="3">
        <f>'Historical Prices'!D678/'Historical Prices'!D677-1</f>
        <v>-2.0560351116284958E-2</v>
      </c>
      <c r="E680" s="3">
        <f>'Historical Prices'!E678/'Historical Prices'!E677-1</f>
        <v>-7.348940821984673E-3</v>
      </c>
      <c r="F680" s="3">
        <f>'Historical Prices'!F678/'Historical Prices'!F677-1</f>
        <v>-2.7748474235351095E-2</v>
      </c>
      <c r="G680" s="9">
        <f t="shared" si="76"/>
        <v>-2.0969131581697803E-2</v>
      </c>
      <c r="H680" s="6">
        <f t="shared" si="77"/>
        <v>-20969.131581697802</v>
      </c>
      <c r="I680" s="9">
        <f t="shared" si="68"/>
        <v>1.3711500313036322E-2</v>
      </c>
      <c r="J680">
        <f t="shared" si="69"/>
        <v>1</v>
      </c>
      <c r="K680" s="5">
        <f t="shared" si="70"/>
        <v>1.6208068288665178E-2</v>
      </c>
      <c r="L680">
        <f t="shared" si="71"/>
        <v>1</v>
      </c>
      <c r="M680" s="9">
        <f t="shared" si="72"/>
        <v>2.1735488883588377E-2</v>
      </c>
      <c r="N680">
        <f t="shared" si="73"/>
        <v>0</v>
      </c>
      <c r="O680" s="5">
        <f t="shared" si="74"/>
        <v>2.2924823843125133E-2</v>
      </c>
      <c r="P680">
        <f t="shared" si="75"/>
        <v>0</v>
      </c>
    </row>
    <row r="681" spans="1:16" x14ac:dyDescent="0.25">
      <c r="A681" s="2">
        <f>'Historical Prices'!A679</f>
        <v>46111</v>
      </c>
      <c r="B681" s="3">
        <f>'Historical Prices'!C679/'Historical Prices'!C678-1</f>
        <v>-3.2597232129509712E-2</v>
      </c>
      <c r="C681" s="3">
        <f>'Historical Prices'!B679/'Historical Prices'!B678-1</f>
        <v>-3.6425422613803993E-2</v>
      </c>
      <c r="D681" s="3">
        <f>'Historical Prices'!D679/'Historical Prices'!D678-1</f>
        <v>-2.2613058056770496E-2</v>
      </c>
      <c r="E681" s="3">
        <f>'Historical Prices'!E679/'Historical Prices'!E678-1</f>
        <v>-1.5042917885841445E-2</v>
      </c>
      <c r="F681" s="3">
        <f>'Historical Prices'!F679/'Historical Prices'!F678-1</f>
        <v>-2.8474721898786415E-2</v>
      </c>
      <c r="G681" s="9">
        <f t="shared" si="76"/>
        <v>-2.6996071165351944E-2</v>
      </c>
      <c r="H681" s="6">
        <f t="shared" si="77"/>
        <v>-26996.071165351943</v>
      </c>
      <c r="I681" s="9">
        <f t="shared" si="68"/>
        <v>1.5800224130109949E-2</v>
      </c>
      <c r="J681">
        <f t="shared" si="69"/>
        <v>1</v>
      </c>
      <c r="K681" s="5">
        <f t="shared" si="70"/>
        <v>1.644657998489038E-2</v>
      </c>
      <c r="L681">
        <f t="shared" si="71"/>
        <v>1</v>
      </c>
      <c r="M681" s="9">
        <f t="shared" si="72"/>
        <v>2.1735488883588377E-2</v>
      </c>
      <c r="N681">
        <f t="shared" si="73"/>
        <v>1</v>
      </c>
      <c r="O681" s="5">
        <f t="shared" si="74"/>
        <v>2.3212483668195328E-2</v>
      </c>
      <c r="P681">
        <f t="shared" si="75"/>
        <v>1</v>
      </c>
    </row>
    <row r="682" spans="1:16" x14ac:dyDescent="0.25">
      <c r="A682" s="2">
        <f>'Historical Prices'!A680</f>
        <v>46113</v>
      </c>
      <c r="B682" s="3">
        <f>'Historical Prices'!C680/'Historical Prices'!C679-1</f>
        <v>1.4626523965534544E-2</v>
      </c>
      <c r="C682" s="3">
        <f>'Historical Prices'!B680/'Historical Prices'!B679-1</f>
        <v>2.7383014102929648E-2</v>
      </c>
      <c r="D682" s="3">
        <f>'Historical Prices'!D680/'Historical Prices'!D679-1</f>
        <v>5.6388496415984424E-3</v>
      </c>
      <c r="E682" s="3">
        <f>'Historical Prices'!E680/'Historical Prices'!E679-1</f>
        <v>2.007036954932917E-2</v>
      </c>
      <c r="F682" s="3">
        <f>'Historical Prices'!F680/'Historical Prices'!F679-1</f>
        <v>2.5992516455731751E-2</v>
      </c>
      <c r="G682" s="9">
        <f t="shared" si="76"/>
        <v>1.8122834075244933E-2</v>
      </c>
      <c r="H682" s="6">
        <f t="shared" si="77"/>
        <v>18122.834075244933</v>
      </c>
      <c r="I682" s="9">
        <f t="shared" si="68"/>
        <v>1.7478869982967105E-2</v>
      </c>
      <c r="J682">
        <f t="shared" si="69"/>
        <v>0</v>
      </c>
      <c r="K682" s="5">
        <f t="shared" si="70"/>
        <v>1.6803258549602563E-2</v>
      </c>
      <c r="L682">
        <f t="shared" si="71"/>
        <v>0</v>
      </c>
      <c r="M682" s="9">
        <f t="shared" si="72"/>
        <v>2.1735488883588377E-2</v>
      </c>
      <c r="N682">
        <f t="shared" si="73"/>
        <v>0</v>
      </c>
      <c r="O682" s="5">
        <f t="shared" si="74"/>
        <v>2.3663926593773744E-2</v>
      </c>
      <c r="P682">
        <f t="shared" si="75"/>
        <v>0</v>
      </c>
    </row>
    <row r="683" spans="1:16" x14ac:dyDescent="0.25">
      <c r="A683" s="2">
        <f>'Historical Prices'!A681</f>
        <v>46114</v>
      </c>
      <c r="B683" s="3">
        <f>'Historical Prices'!C681/'Historical Prices'!C680-1</f>
        <v>1.1653777095683715E-2</v>
      </c>
      <c r="C683" s="3">
        <f>'Historical Prices'!B681/'Historical Prices'!B680-1</f>
        <v>4.0232050010939879E-3</v>
      </c>
      <c r="D683" s="3">
        <f>'Historical Prices'!D681/'Historical Prices'!D680-1</f>
        <v>2.5563915574924323E-3</v>
      </c>
      <c r="E683" s="3">
        <f>'Historical Prices'!E681/'Historical Prices'!E680-1</f>
        <v>1.967557324481839E-2</v>
      </c>
      <c r="F683" s="3">
        <f>'Historical Prices'!F681/'Historical Prices'!F680-1</f>
        <v>-6.5314223279298034E-3</v>
      </c>
      <c r="G683" s="9">
        <f t="shared" si="76"/>
        <v>6.141577918779971E-3</v>
      </c>
      <c r="H683" s="6">
        <f t="shared" si="77"/>
        <v>6141.5779187799708</v>
      </c>
      <c r="I683" s="9">
        <f t="shared" si="68"/>
        <v>1.7478869982967105E-2</v>
      </c>
      <c r="J683">
        <f t="shared" si="69"/>
        <v>0</v>
      </c>
      <c r="K683" s="5">
        <f t="shared" si="70"/>
        <v>1.6773551725385298E-2</v>
      </c>
      <c r="L683">
        <f t="shared" si="71"/>
        <v>0</v>
      </c>
      <c r="M683" s="9">
        <f t="shared" si="72"/>
        <v>2.1735488883588377E-2</v>
      </c>
      <c r="N683">
        <f t="shared" si="73"/>
        <v>0</v>
      </c>
      <c r="O683" s="5">
        <f t="shared" si="74"/>
        <v>2.3667786855445901E-2</v>
      </c>
      <c r="P683">
        <f t="shared" si="75"/>
        <v>0</v>
      </c>
    </row>
    <row r="684" spans="1:16" x14ac:dyDescent="0.25">
      <c r="A684" s="2">
        <f>'Historical Prices'!A682</f>
        <v>46118</v>
      </c>
      <c r="B684" s="3">
        <f>'Historical Prices'!C682/'Historical Prices'!C681-1</f>
        <v>2.6767855041769595E-2</v>
      </c>
      <c r="C684" s="3">
        <f>'Historical Prices'!B682/'Historical Prices'!B681-1</f>
        <v>3.9569186493276121E-2</v>
      </c>
      <c r="D684" s="3">
        <f>'Historical Prices'!D682/'Historical Prices'!D681-1</f>
        <v>1.2830972695986542E-2</v>
      </c>
      <c r="E684" s="3">
        <f>'Historical Prices'!E682/'Historical Prices'!E681-1</f>
        <v>4.1512127094083251E-3</v>
      </c>
      <c r="F684" s="3">
        <f>'Historical Prices'!F682/'Historical Prices'!F681-1</f>
        <v>3.2871811322077171E-3</v>
      </c>
      <c r="G684" s="9">
        <f t="shared" si="76"/>
        <v>1.7249826133886526E-2</v>
      </c>
      <c r="H684" s="6">
        <f t="shared" si="77"/>
        <v>17249.826133886527</v>
      </c>
      <c r="I684" s="9">
        <f t="shared" si="68"/>
        <v>1.7478869982967105E-2</v>
      </c>
      <c r="J684">
        <f t="shared" si="69"/>
        <v>0</v>
      </c>
      <c r="K684" s="5">
        <f t="shared" si="70"/>
        <v>1.6769540916550002E-2</v>
      </c>
      <c r="L684">
        <f t="shared" si="71"/>
        <v>0</v>
      </c>
      <c r="M684" s="9">
        <f t="shared" si="72"/>
        <v>2.1735488883588377E-2</v>
      </c>
      <c r="N684">
        <f t="shared" si="73"/>
        <v>0</v>
      </c>
      <c r="O684" s="5">
        <f t="shared" si="74"/>
        <v>2.36681609529115E-2</v>
      </c>
      <c r="P684">
        <f t="shared" si="75"/>
        <v>0</v>
      </c>
    </row>
    <row r="685" spans="1:16" x14ac:dyDescent="0.25">
      <c r="A685" s="2">
        <f>'Historical Prices'!A683</f>
        <v>46119</v>
      </c>
      <c r="B685" s="3">
        <f>'Historical Prices'!C683/'Historical Prices'!C682-1</f>
        <v>1.2969825219191211E-3</v>
      </c>
      <c r="C685" s="3">
        <f>'Historical Prices'!B683/'Historical Prices'!B682-1</f>
        <v>3.8544637065718312E-3</v>
      </c>
      <c r="D685" s="3">
        <f>'Historical Prices'!D683/'Historical Prices'!D682-1</f>
        <v>1.1450325972559128E-2</v>
      </c>
      <c r="E685" s="3">
        <f>'Historical Prices'!E683/'Historical Prices'!E682-1</f>
        <v>2.5417269563084322E-2</v>
      </c>
      <c r="F685" s="3">
        <f>'Historical Prices'!F683/'Historical Prices'!F682-1</f>
        <v>-4.9642169937865743E-3</v>
      </c>
      <c r="G685" s="9">
        <f t="shared" si="76"/>
        <v>7.3186814088778149E-3</v>
      </c>
      <c r="H685" s="6">
        <f t="shared" si="77"/>
        <v>7318.6814088778146</v>
      </c>
      <c r="I685" s="9">
        <f t="shared" si="68"/>
        <v>1.7478869982967105E-2</v>
      </c>
      <c r="J685">
        <f t="shared" si="69"/>
        <v>0</v>
      </c>
      <c r="K685" s="5">
        <f t="shared" si="70"/>
        <v>1.6765956681368183E-2</v>
      </c>
      <c r="L685">
        <f t="shared" si="71"/>
        <v>0</v>
      </c>
      <c r="M685" s="9">
        <f t="shared" si="72"/>
        <v>2.1735488883588377E-2</v>
      </c>
      <c r="N685">
        <f t="shared" si="73"/>
        <v>0</v>
      </c>
      <c r="O685" s="5">
        <f t="shared" si="74"/>
        <v>2.3700939180334391E-2</v>
      </c>
      <c r="P685">
        <f t="shared" si="75"/>
        <v>0</v>
      </c>
    </row>
    <row r="686" spans="1:16" x14ac:dyDescent="0.25">
      <c r="A686" s="2">
        <f>'Historical Prices'!A684</f>
        <v>46120</v>
      </c>
      <c r="B686" s="3">
        <f>'Historical Prices'!C684/'Historical Prices'!C683-1</f>
        <v>5.7124393005253848E-2</v>
      </c>
      <c r="C686" s="3">
        <f>'Historical Prices'!B684/'Historical Prices'!B683-1</f>
        <v>6.6314750413053014E-2</v>
      </c>
      <c r="D686" s="3">
        <f>'Historical Prices'!D684/'Historical Prices'!D683-1</f>
        <v>5.1144132881365767E-2</v>
      </c>
      <c r="E686" s="3">
        <f>'Historical Prices'!E684/'Historical Prices'!E683-1</f>
        <v>5.0768350232990311E-3</v>
      </c>
      <c r="F686" s="3">
        <f>'Historical Prices'!F684/'Historical Prices'!F683-1</f>
        <v>6.7684375187699208E-2</v>
      </c>
      <c r="G686" s="9">
        <f t="shared" si="76"/>
        <v>4.9903617853810332E-2</v>
      </c>
      <c r="H686" s="6">
        <f t="shared" si="77"/>
        <v>49903.617853810334</v>
      </c>
      <c r="I686" s="9">
        <f t="shared" si="68"/>
        <v>1.5800224130109949E-2</v>
      </c>
      <c r="J686">
        <f t="shared" si="69"/>
        <v>0</v>
      </c>
      <c r="K686" s="5">
        <f t="shared" si="70"/>
        <v>1.6508780760115083E-2</v>
      </c>
      <c r="L686">
        <f t="shared" si="71"/>
        <v>0</v>
      </c>
      <c r="M686" s="9">
        <f t="shared" si="72"/>
        <v>2.3719725169397902E-2</v>
      </c>
      <c r="N686">
        <f t="shared" si="73"/>
        <v>0</v>
      </c>
      <c r="O686" s="5">
        <f t="shared" si="74"/>
        <v>2.3385710593214908E-2</v>
      </c>
      <c r="P686">
        <f t="shared" si="75"/>
        <v>0</v>
      </c>
    </row>
    <row r="687" spans="1:16" x14ac:dyDescent="0.25">
      <c r="A687" s="2">
        <f>'Historical Prices'!A685</f>
        <v>46121</v>
      </c>
      <c r="B687" s="3">
        <f>'Historical Prices'!C685/'Historical Prices'!C684-1</f>
        <v>-2.2546206951919445E-2</v>
      </c>
      <c r="C687" s="3">
        <f>'Historical Prices'!B685/'Historical Prices'!B684-1</f>
        <v>-1.0877768553073097E-2</v>
      </c>
      <c r="D687" s="3">
        <f>'Historical Prices'!D685/'Historical Prices'!D684-1</f>
        <v>-2.1310625318220477E-2</v>
      </c>
      <c r="E687" s="3">
        <f>'Historical Prices'!E685/'Historical Prices'!E684-1</f>
        <v>-1.0845353978939598E-2</v>
      </c>
      <c r="F687" s="3">
        <f>'Historical Prices'!F685/'Historical Prices'!F684-1</f>
        <v>-1.3488703631476473E-2</v>
      </c>
      <c r="G687" s="9">
        <f t="shared" si="76"/>
        <v>-1.6211598931443406E-2</v>
      </c>
      <c r="H687" s="6">
        <f t="shared" si="77"/>
        <v>-16211.598931443406</v>
      </c>
      <c r="I687" s="9">
        <f t="shared" si="68"/>
        <v>1.5800224130109949E-2</v>
      </c>
      <c r="J687">
        <f t="shared" si="69"/>
        <v>1</v>
      </c>
      <c r="K687" s="5">
        <f t="shared" si="70"/>
        <v>1.7112383889293682E-2</v>
      </c>
      <c r="L687">
        <f t="shared" si="71"/>
        <v>0</v>
      </c>
      <c r="M687" s="9">
        <f t="shared" si="72"/>
        <v>2.3719725169397902E-2</v>
      </c>
      <c r="N687">
        <f t="shared" si="73"/>
        <v>0</v>
      </c>
      <c r="O687" s="5">
        <f t="shared" si="74"/>
        <v>2.4308335326653521E-2</v>
      </c>
      <c r="P687">
        <f t="shared" si="75"/>
        <v>0</v>
      </c>
    </row>
    <row r="688" spans="1:16" x14ac:dyDescent="0.25">
      <c r="A688" s="2">
        <f>'Historical Prices'!A686</f>
        <v>46122</v>
      </c>
      <c r="B688" s="3">
        <f>'Historical Prices'!C686/'Historical Prices'!C685-1</f>
        <v>1.5795366089045526E-2</v>
      </c>
      <c r="C688" s="3">
        <f>'Historical Prices'!B686/'Historical Prices'!B685-1</f>
        <v>2.449756449375462E-2</v>
      </c>
      <c r="D688" s="3">
        <f>'Historical Prices'!D686/'Historical Prices'!D685-1</f>
        <v>3.1686499510984012E-2</v>
      </c>
      <c r="E688" s="3">
        <f>'Historical Prices'!E686/'Historical Prices'!E685-1</f>
        <v>-2.9363102339199365E-2</v>
      </c>
      <c r="F688" s="3">
        <f>'Historical Prices'!F686/'Historical Prices'!F685-1</f>
        <v>2.9367242915484759E-2</v>
      </c>
      <c r="G688" s="9">
        <f t="shared" si="76"/>
        <v>1.5323165112359666E-2</v>
      </c>
      <c r="H688" s="6">
        <f t="shared" si="77"/>
        <v>15323.165112359666</v>
      </c>
      <c r="I688" s="9">
        <f t="shared" si="68"/>
        <v>1.6900289943680601E-2</v>
      </c>
      <c r="J688">
        <f t="shared" si="69"/>
        <v>0</v>
      </c>
      <c r="K688" s="5">
        <f t="shared" si="70"/>
        <v>1.720945077692974E-2</v>
      </c>
      <c r="L688">
        <f t="shared" si="71"/>
        <v>0</v>
      </c>
      <c r="M688" s="9">
        <f t="shared" si="72"/>
        <v>2.5598995175695836E-2</v>
      </c>
      <c r="N688">
        <f t="shared" si="73"/>
        <v>0</v>
      </c>
      <c r="O688" s="5">
        <f t="shared" si="74"/>
        <v>2.4431843061156894E-2</v>
      </c>
      <c r="P688">
        <f t="shared" si="75"/>
        <v>0</v>
      </c>
    </row>
    <row r="689" spans="1:16" x14ac:dyDescent="0.25">
      <c r="A689" s="2">
        <f>'Historical Prices'!A687</f>
        <v>46125</v>
      </c>
      <c r="B689" s="3">
        <f>'Historical Prices'!C687/'Historical Prices'!C686-1</f>
        <v>-1.9252139613693764E-2</v>
      </c>
      <c r="C689" s="3">
        <f>'Historical Prices'!B687/'Historical Prices'!B686-1</f>
        <v>2.0728526304880646E-3</v>
      </c>
      <c r="D689" s="3">
        <f>'Historical Prices'!D687/'Historical Prices'!D686-1</f>
        <v>2.2089358320372066E-2</v>
      </c>
      <c r="E689" s="3">
        <f>'Historical Prices'!E687/'Historical Prices'!E686-1</f>
        <v>-1.2146981076221142E-2</v>
      </c>
      <c r="F689" s="3">
        <f>'Historical Prices'!F687/'Historical Prices'!F686-1</f>
        <v>-1.2148064148002735E-2</v>
      </c>
      <c r="G689" s="9">
        <f t="shared" si="76"/>
        <v>-3.2152819562757144E-3</v>
      </c>
      <c r="H689" s="6">
        <f t="shared" si="77"/>
        <v>-3215.2819562757145</v>
      </c>
      <c r="I689" s="9">
        <f t="shared" si="68"/>
        <v>1.6900289943680601E-2</v>
      </c>
      <c r="J689">
        <f t="shared" si="69"/>
        <v>0</v>
      </c>
      <c r="K689" s="5">
        <f t="shared" si="70"/>
        <v>1.7204890983103266E-2</v>
      </c>
      <c r="L689">
        <f t="shared" si="71"/>
        <v>0</v>
      </c>
      <c r="M689" s="9">
        <f t="shared" si="72"/>
        <v>2.5598995175695836E-2</v>
      </c>
      <c r="N689">
        <f t="shared" si="73"/>
        <v>0</v>
      </c>
      <c r="O689" s="5">
        <f t="shared" si="74"/>
        <v>2.4455358070695293E-2</v>
      </c>
      <c r="P689">
        <f t="shared" si="75"/>
        <v>0</v>
      </c>
    </row>
    <row r="690" spans="1:16" x14ac:dyDescent="0.25">
      <c r="A690" s="2">
        <f>'Historical Prices'!A688</f>
        <v>46127</v>
      </c>
      <c r="B690" s="3">
        <f>'Historical Prices'!C688/'Historical Prices'!C687-1</f>
        <v>1.9126723394016221E-2</v>
      </c>
      <c r="C690" s="3">
        <f>'Historical Prices'!B688/'Historical Prices'!B687-1</f>
        <v>1.4036818648421878E-3</v>
      </c>
      <c r="D690" s="3">
        <f>'Historical Prices'!D688/'Historical Prices'!D687-1</f>
        <v>-2.2203635674509226E-3</v>
      </c>
      <c r="E690" s="3">
        <f>'Historical Prices'!E688/'Historical Prices'!E687-1</f>
        <v>2.2321445141346485E-2</v>
      </c>
      <c r="F690" s="3">
        <f>'Historical Prices'!F688/'Historical Prices'!F687-1</f>
        <v>1.1272621855249465E-2</v>
      </c>
      <c r="G690" s="9">
        <f t="shared" si="76"/>
        <v>1.0066116286386982E-2</v>
      </c>
      <c r="H690" s="6">
        <f t="shared" si="77"/>
        <v>10066.116286386981</v>
      </c>
      <c r="I690" s="9">
        <f t="shared" si="68"/>
        <v>1.5111533117872755E-2</v>
      </c>
      <c r="J690">
        <f t="shared" si="69"/>
        <v>0</v>
      </c>
      <c r="K690" s="5">
        <f t="shared" si="70"/>
        <v>1.6630195978102367E-2</v>
      </c>
      <c r="L690">
        <f t="shared" si="71"/>
        <v>0</v>
      </c>
      <c r="M690" s="9">
        <f t="shared" si="72"/>
        <v>2.3719725169397902E-2</v>
      </c>
      <c r="N690">
        <f t="shared" si="73"/>
        <v>0</v>
      </c>
      <c r="O690" s="5">
        <f t="shared" si="74"/>
        <v>2.3698829036119248E-2</v>
      </c>
      <c r="P690">
        <f t="shared" si="75"/>
        <v>0</v>
      </c>
    </row>
    <row r="691" spans="1:16" x14ac:dyDescent="0.25">
      <c r="A691" s="2">
        <f>'Historical Prices'!A689</f>
        <v>46128</v>
      </c>
      <c r="B691" s="3">
        <f>'Historical Prices'!C689/'Historical Prices'!C688-1</f>
        <v>-1.7841722804849969E-2</v>
      </c>
      <c r="C691" s="3">
        <f>'Historical Prices'!B689/'Historical Prices'!B688-1</f>
        <v>-4.352677555510498E-3</v>
      </c>
      <c r="D691" s="3">
        <f>'Historical Prices'!D689/'Historical Prices'!D688-1</f>
        <v>-1.9286277166844501E-3</v>
      </c>
      <c r="E691" s="3">
        <f>'Historical Prices'!E689/'Historical Prices'!E688-1</f>
        <v>1.0648802482656761E-2</v>
      </c>
      <c r="F691" s="3">
        <f>'Historical Prices'!F689/'Historical Prices'!F688-1</f>
        <v>-1.0502042272108381E-2</v>
      </c>
      <c r="G691" s="9">
        <f t="shared" si="76"/>
        <v>-5.0629120567237526E-3</v>
      </c>
      <c r="H691" s="6">
        <f t="shared" si="77"/>
        <v>-5062.9120567237524</v>
      </c>
      <c r="I691" s="9">
        <f t="shared" si="68"/>
        <v>1.5111533117872755E-2</v>
      </c>
      <c r="J691">
        <f t="shared" si="69"/>
        <v>0</v>
      </c>
      <c r="K691" s="5">
        <f t="shared" si="70"/>
        <v>1.6608800060902804E-2</v>
      </c>
      <c r="L691">
        <f t="shared" si="71"/>
        <v>0</v>
      </c>
      <c r="M691" s="9">
        <f t="shared" si="72"/>
        <v>2.3719725169397902E-2</v>
      </c>
      <c r="N691">
        <f t="shared" si="73"/>
        <v>0</v>
      </c>
      <c r="O691" s="5">
        <f t="shared" si="74"/>
        <v>2.3659477325643E-2</v>
      </c>
      <c r="P691">
        <f t="shared" si="75"/>
        <v>0</v>
      </c>
    </row>
    <row r="692" spans="1:16" x14ac:dyDescent="0.25">
      <c r="A692" s="2">
        <f>'Historical Prices'!A690</f>
        <v>46129</v>
      </c>
      <c r="B692" s="3">
        <f>'Historical Prices'!C690/'Historical Prices'!C689-1</f>
        <v>5.5943529038835482E-3</v>
      </c>
      <c r="C692" s="3">
        <f>'Historical Prices'!B690/'Historical Prices'!B689-1</f>
        <v>7.0391204159023779E-3</v>
      </c>
      <c r="D692" s="3">
        <f>'Historical Prices'!D690/'Historical Prices'!D689-1</f>
        <v>9.662229994380489E-4</v>
      </c>
      <c r="E692" s="3">
        <f>'Historical Prices'!E690/'Historical Prices'!E689-1</f>
        <v>-3.7899467620683414E-4</v>
      </c>
      <c r="F692" s="3">
        <f>'Historical Prices'!F690/'Historical Prices'!F689-1</f>
        <v>-6.858465229202082E-3</v>
      </c>
      <c r="G692" s="9">
        <f t="shared" si="76"/>
        <v>1.3014269576294305E-3</v>
      </c>
      <c r="H692" s="6">
        <f t="shared" si="77"/>
        <v>1301.4269576294305</v>
      </c>
      <c r="I692" s="9">
        <f t="shared" si="68"/>
        <v>1.5111533117872755E-2</v>
      </c>
      <c r="J692">
        <f t="shared" si="69"/>
        <v>0</v>
      </c>
      <c r="K692" s="5">
        <f t="shared" si="70"/>
        <v>1.6598350780687183E-2</v>
      </c>
      <c r="L692">
        <f t="shared" si="71"/>
        <v>0</v>
      </c>
      <c r="M692" s="9">
        <f t="shared" si="72"/>
        <v>2.5598995175695836E-2</v>
      </c>
      <c r="N692">
        <f t="shared" si="73"/>
        <v>0</v>
      </c>
      <c r="O692" s="5">
        <f t="shared" si="74"/>
        <v>2.3646886003873643E-2</v>
      </c>
      <c r="P692">
        <f t="shared" si="75"/>
        <v>0</v>
      </c>
    </row>
    <row r="693" spans="1:16" x14ac:dyDescent="0.25">
      <c r="A693" s="2">
        <f>'Historical Prices'!A691</f>
        <v>46132</v>
      </c>
      <c r="B693" s="3">
        <f>'Historical Prices'!C691/'Historical Prices'!C690-1</f>
        <v>-5.5632302306874992E-3</v>
      </c>
      <c r="C693" s="3">
        <f>'Historical Prices'!B691/'Historical Prices'!B690-1</f>
        <v>-3.2374345481738231E-3</v>
      </c>
      <c r="D693" s="3">
        <f>'Historical Prices'!D691/'Historical Prices'!D690-1</f>
        <v>6.9794118319128629E-3</v>
      </c>
      <c r="E693" s="3">
        <f>'Historical Prices'!E691/'Historical Prices'!E690-1</f>
        <v>-4.6257907148641308E-3</v>
      </c>
      <c r="F693" s="3">
        <f>'Historical Prices'!F691/'Historical Prices'!F690-1</f>
        <v>6.6871233559331333E-3</v>
      </c>
      <c r="G693" s="9">
        <f t="shared" si="76"/>
        <v>2.6259794210496809E-4</v>
      </c>
      <c r="H693" s="6">
        <f t="shared" si="77"/>
        <v>262.59794210496807</v>
      </c>
      <c r="I693" s="9">
        <f t="shared" si="68"/>
        <v>1.5111533117872755E-2</v>
      </c>
      <c r="J693">
        <f t="shared" si="69"/>
        <v>0</v>
      </c>
      <c r="K693" s="5">
        <f t="shared" si="70"/>
        <v>1.6593378849163797E-2</v>
      </c>
      <c r="L693">
        <f t="shared" si="71"/>
        <v>0</v>
      </c>
      <c r="M693" s="9">
        <f t="shared" si="72"/>
        <v>2.5598995175695836E-2</v>
      </c>
      <c r="N693">
        <f t="shared" si="73"/>
        <v>0</v>
      </c>
      <c r="O693" s="5">
        <f t="shared" si="74"/>
        <v>2.3619998593236699E-2</v>
      </c>
      <c r="P693">
        <f t="shared" si="75"/>
        <v>0</v>
      </c>
    </row>
    <row r="694" spans="1:16" x14ac:dyDescent="0.25">
      <c r="A694" s="2">
        <f>'Historical Prices'!A692</f>
        <v>46133</v>
      </c>
      <c r="B694" s="3">
        <f>'Historical Prices'!C692/'Historical Prices'!C691-1</f>
        <v>2.0491541469136454E-2</v>
      </c>
      <c r="C694" s="3">
        <f>'Historical Prices'!B692/'Historical Prices'!B691-1</f>
        <v>1.697794691207144E-2</v>
      </c>
      <c r="D694" s="3">
        <f>'Historical Prices'!D692/'Historical Prices'!D691-1</f>
        <v>2.3742887200000728E-2</v>
      </c>
      <c r="E694" s="3">
        <f>'Historical Prices'!E692/'Historical Prices'!E691-1</f>
        <v>4.5709940168503493E-4</v>
      </c>
      <c r="F694" s="3">
        <f>'Historical Prices'!F692/'Historical Prices'!F691-1</f>
        <v>7.9773849143931486E-3</v>
      </c>
      <c r="G694" s="9">
        <f t="shared" si="76"/>
        <v>1.4480267571621309E-2</v>
      </c>
      <c r="H694" s="6">
        <f t="shared" si="77"/>
        <v>14480.267571621309</v>
      </c>
      <c r="I694" s="9">
        <f t="shared" si="68"/>
        <v>1.5111533117872755E-2</v>
      </c>
      <c r="J694">
        <f t="shared" si="69"/>
        <v>0</v>
      </c>
      <c r="K694" s="5">
        <f t="shared" si="70"/>
        <v>1.6455391404860305E-2</v>
      </c>
      <c r="L694">
        <f t="shared" si="71"/>
        <v>0</v>
      </c>
      <c r="M694" s="9">
        <f t="shared" si="72"/>
        <v>2.5598995175695836E-2</v>
      </c>
      <c r="N694">
        <f t="shared" si="73"/>
        <v>0</v>
      </c>
      <c r="O694" s="5">
        <f t="shared" si="74"/>
        <v>2.337869211463741E-2</v>
      </c>
      <c r="P694">
        <f t="shared" si="75"/>
        <v>0</v>
      </c>
    </row>
    <row r="695" spans="1:16" x14ac:dyDescent="0.25">
      <c r="A695" s="2">
        <f>'Historical Prices'!A693</f>
        <v>46134</v>
      </c>
      <c r="B695" s="3">
        <f>'Historical Prices'!C693/'Historical Prices'!C692-1</f>
        <v>-1.4598051977781523E-2</v>
      </c>
      <c r="C695" s="3">
        <f>'Historical Prices'!B693/'Historical Prices'!B692-1</f>
        <v>1.3791273731824649E-3</v>
      </c>
      <c r="D695" s="3">
        <f>'Historical Prices'!D693/'Historical Prices'!D692-1</f>
        <v>-1.498135244099319E-2</v>
      </c>
      <c r="E695" s="3">
        <f>'Historical Prices'!E693/'Historical Prices'!E692-1</f>
        <v>-3.3962799554866474E-2</v>
      </c>
      <c r="F695" s="3">
        <f>'Historical Prices'!F693/'Historical Prices'!F692-1</f>
        <v>-3.0055809923075882E-2</v>
      </c>
      <c r="G695" s="9">
        <f t="shared" si="76"/>
        <v>-1.8292573202242222E-2</v>
      </c>
      <c r="H695" s="6">
        <f t="shared" si="77"/>
        <v>-18292.573202242223</v>
      </c>
      <c r="I695" s="9">
        <f t="shared" si="68"/>
        <v>1.5111533117872755E-2</v>
      </c>
      <c r="J695">
        <f t="shared" si="69"/>
        <v>1</v>
      </c>
      <c r="K695" s="5">
        <f t="shared" si="70"/>
        <v>1.6475583736608915E-2</v>
      </c>
      <c r="L695">
        <f t="shared" si="71"/>
        <v>1</v>
      </c>
      <c r="M695" s="9">
        <f t="shared" si="72"/>
        <v>2.5598995175695836E-2</v>
      </c>
      <c r="N695">
        <f t="shared" si="73"/>
        <v>0</v>
      </c>
      <c r="O695" s="5">
        <f t="shared" si="74"/>
        <v>2.3417895815094094E-2</v>
      </c>
      <c r="P695">
        <f t="shared" si="75"/>
        <v>0</v>
      </c>
    </row>
    <row r="696" spans="1:16" x14ac:dyDescent="0.25">
      <c r="A696" s="2">
        <f>'Historical Prices'!A694</f>
        <v>46135</v>
      </c>
      <c r="B696" s="3">
        <f>'Historical Prices'!C694/'Historical Prices'!C693-1</f>
        <v>-1.9440008128864261E-2</v>
      </c>
      <c r="C696" s="3">
        <f>'Historical Prices'!B694/'Historical Prices'!B693-1</f>
        <v>-7.2484891933696227E-3</v>
      </c>
      <c r="D696" s="3">
        <f>'Historical Prices'!D694/'Historical Prices'!D693-1</f>
        <v>-1.4331596895618803E-2</v>
      </c>
      <c r="E696" s="3">
        <f>'Historical Prices'!E694/'Historical Prices'!E693-1</f>
        <v>-2.2071616407382866E-2</v>
      </c>
      <c r="F696" s="3">
        <f>'Historical Prices'!F694/'Historical Prices'!F693-1</f>
        <v>-3.2384025906594061E-2</v>
      </c>
      <c r="G696" s="9">
        <f t="shared" si="76"/>
        <v>-1.9011864052102659E-2</v>
      </c>
      <c r="H696" s="6">
        <f t="shared" si="77"/>
        <v>-19011.864052102657</v>
      </c>
      <c r="I696" s="9">
        <f t="shared" si="68"/>
        <v>1.6900289943680601E-2</v>
      </c>
      <c r="J696">
        <f t="shared" si="69"/>
        <v>1</v>
      </c>
      <c r="K696" s="5">
        <f t="shared" si="70"/>
        <v>1.6608350515174581E-2</v>
      </c>
      <c r="L696">
        <f t="shared" si="71"/>
        <v>1</v>
      </c>
      <c r="M696" s="9">
        <f t="shared" si="72"/>
        <v>2.5598995175695836E-2</v>
      </c>
      <c r="N696">
        <f t="shared" si="73"/>
        <v>0</v>
      </c>
      <c r="O696" s="5">
        <f t="shared" si="74"/>
        <v>2.3541429851976211E-2</v>
      </c>
      <c r="P696">
        <f t="shared" si="75"/>
        <v>0</v>
      </c>
    </row>
    <row r="697" spans="1:16" x14ac:dyDescent="0.25">
      <c r="A697" s="2">
        <f>'Historical Prices'!A695</f>
        <v>46136</v>
      </c>
      <c r="B697" s="3">
        <f>'Historical Prices'!C695/'Historical Prices'!C694-1</f>
        <v>6.3749322381645435E-4</v>
      </c>
      <c r="C697" s="3">
        <f>'Historical Prices'!B695/'Historical Prices'!B694-1</f>
        <v>-2.7015149337926703E-3</v>
      </c>
      <c r="D697" s="3">
        <f>'Historical Prices'!D695/'Historical Prices'!D694-1</f>
        <v>-1.6172141212208224E-2</v>
      </c>
      <c r="E697" s="3">
        <f>'Historical Prices'!E695/'Historical Prices'!E694-1</f>
        <v>-6.9321328720958753E-2</v>
      </c>
      <c r="F697" s="3">
        <f>'Historical Prices'!F695/'Historical Prices'!F694-1</f>
        <v>-3.0514875485757598E-3</v>
      </c>
      <c r="G697" s="9">
        <f t="shared" si="76"/>
        <v>-1.7410423482142681E-2</v>
      </c>
      <c r="H697" s="6">
        <f t="shared" si="77"/>
        <v>-17410.42348214268</v>
      </c>
      <c r="I697" s="9">
        <f t="shared" si="68"/>
        <v>1.7478869982967105E-2</v>
      </c>
      <c r="J697">
        <f t="shared" si="69"/>
        <v>0</v>
      </c>
      <c r="K697" s="5">
        <f t="shared" si="70"/>
        <v>1.6770418106060881E-2</v>
      </c>
      <c r="L697">
        <f t="shared" si="71"/>
        <v>1</v>
      </c>
      <c r="M697" s="9">
        <f t="shared" si="72"/>
        <v>2.5598995175695836E-2</v>
      </c>
      <c r="N697">
        <f t="shared" si="73"/>
        <v>0</v>
      </c>
      <c r="O697" s="5">
        <f t="shared" si="74"/>
        <v>2.3709443247853991E-2</v>
      </c>
      <c r="P697">
        <f t="shared" si="75"/>
        <v>0</v>
      </c>
    </row>
    <row r="698" spans="1:16" x14ac:dyDescent="0.25">
      <c r="A698" s="2">
        <f>'Historical Prices'!A696</f>
        <v>46139</v>
      </c>
      <c r="B698" s="3">
        <f>'Historical Prices'!C696/'Historical Prices'!C695-1</f>
        <v>6.3069170787561912E-3</v>
      </c>
      <c r="C698" s="3">
        <f>'Historical Prices'!B696/'Historical Prices'!B695-1</f>
        <v>-3.0529397191442875E-2</v>
      </c>
      <c r="D698" s="3">
        <f>'Historical Prices'!D696/'Historical Prices'!D695-1</f>
        <v>-9.1238563852371612E-3</v>
      </c>
      <c r="E698" s="3">
        <f>'Historical Prices'!E696/'Historical Prices'!E695-1</f>
        <v>1.3597868773237209E-2</v>
      </c>
      <c r="F698" s="3">
        <f>'Historical Prices'!F696/'Historical Prices'!F695-1</f>
        <v>2.1063742545236019E-2</v>
      </c>
      <c r="G698" s="9">
        <f t="shared" si="76"/>
        <v>1.9285950076189341E-4</v>
      </c>
      <c r="H698" s="6">
        <f t="shared" si="77"/>
        <v>192.8595007618934</v>
      </c>
      <c r="I698" s="9">
        <f t="shared" si="68"/>
        <v>1.7478869982967105E-2</v>
      </c>
      <c r="J698">
        <f t="shared" si="69"/>
        <v>0</v>
      </c>
      <c r="K698" s="5">
        <f t="shared" si="70"/>
        <v>1.6948116077841326E-2</v>
      </c>
      <c r="L698">
        <f t="shared" si="71"/>
        <v>0</v>
      </c>
      <c r="M698" s="9">
        <f t="shared" si="72"/>
        <v>2.5598995175695836E-2</v>
      </c>
      <c r="N698">
        <f t="shared" si="73"/>
        <v>0</v>
      </c>
      <c r="O698" s="5">
        <f t="shared" si="74"/>
        <v>2.3925186981826375E-2</v>
      </c>
      <c r="P698">
        <f t="shared" si="75"/>
        <v>0</v>
      </c>
    </row>
    <row r="699" spans="1:16" x14ac:dyDescent="0.25">
      <c r="A699" s="2">
        <f>'Historical Prices'!A697</f>
        <v>46140</v>
      </c>
      <c r="B699" s="3">
        <f>'Historical Prices'!C697/'Historical Prices'!C696-1</f>
        <v>-9.1795125716610526E-3</v>
      </c>
      <c r="C699" s="3">
        <f>'Historical Prices'!B697/'Historical Prices'!B696-1</f>
        <v>-2.6581979994254046E-2</v>
      </c>
      <c r="D699" s="3">
        <f>'Historical Prices'!D697/'Historical Prices'!D696-1</f>
        <v>-1.6817531622625337E-2</v>
      </c>
      <c r="E699" s="3">
        <f>'Historical Prices'!E697/'Historical Prices'!E696-1</f>
        <v>-1.5551629027732106E-2</v>
      </c>
      <c r="F699" s="3">
        <f>'Historical Prices'!F697/'Historical Prices'!F696-1</f>
        <v>-4.6093275983132287E-3</v>
      </c>
      <c r="G699" s="9">
        <f t="shared" si="76"/>
        <v>-1.4419080004673023E-2</v>
      </c>
      <c r="H699" s="6">
        <f t="shared" si="77"/>
        <v>-14419.080004673024</v>
      </c>
      <c r="I699" s="9">
        <f t="shared" si="68"/>
        <v>1.7478869982967105E-2</v>
      </c>
      <c r="J699">
        <f t="shared" si="69"/>
        <v>0</v>
      </c>
      <c r="K699" s="5">
        <f t="shared" si="70"/>
        <v>1.6955757687221115E-2</v>
      </c>
      <c r="L699">
        <f t="shared" si="71"/>
        <v>0</v>
      </c>
      <c r="M699" s="9">
        <f t="shared" si="72"/>
        <v>2.5598995175695836E-2</v>
      </c>
      <c r="N699">
        <f t="shared" si="73"/>
        <v>0</v>
      </c>
      <c r="O699" s="5">
        <f t="shared" si="74"/>
        <v>2.3920801575921365E-2</v>
      </c>
      <c r="P699">
        <f t="shared" si="75"/>
        <v>0</v>
      </c>
    </row>
    <row r="700" spans="1:16" x14ac:dyDescent="0.25">
      <c r="A700" s="2">
        <f>'Historical Prices'!A698</f>
        <v>46141</v>
      </c>
      <c r="B700" s="3">
        <f>'Historical Prices'!C698/'Historical Prices'!C697-1</f>
        <v>-4.5364621604967459E-3</v>
      </c>
      <c r="C700" s="3">
        <f>'Historical Prices'!B698/'Historical Prices'!B697-1</f>
        <v>5.74087621575603E-3</v>
      </c>
      <c r="D700" s="3">
        <f>'Historical Prices'!D698/'Historical Prices'!D697-1</f>
        <v>-8.5139641149923895E-3</v>
      </c>
      <c r="E700" s="3">
        <f>'Historical Prices'!E698/'Historical Prices'!E697-1</f>
        <v>1.3366931887262901E-2</v>
      </c>
      <c r="F700" s="3">
        <f>'Historical Prices'!F698/'Historical Prices'!F697-1</f>
        <v>2.07895309938817E-2</v>
      </c>
      <c r="G700" s="9">
        <f t="shared" si="76"/>
        <v>4.6350481858515001E-3</v>
      </c>
      <c r="H700" s="6">
        <f t="shared" si="77"/>
        <v>4635.0481858515004</v>
      </c>
      <c r="I700" s="9">
        <f t="shared" si="68"/>
        <v>1.7478869982967105E-2</v>
      </c>
      <c r="J700">
        <f t="shared" si="69"/>
        <v>0</v>
      </c>
      <c r="K700" s="5">
        <f t="shared" si="70"/>
        <v>1.7045993609350392E-2</v>
      </c>
      <c r="L700">
        <f t="shared" si="71"/>
        <v>0</v>
      </c>
      <c r="M700" s="9">
        <f t="shared" si="72"/>
        <v>2.5598995175695836E-2</v>
      </c>
      <c r="N700">
        <f t="shared" si="73"/>
        <v>0</v>
      </c>
      <c r="O700" s="5">
        <f t="shared" si="74"/>
        <v>2.4034045017774737E-2</v>
      </c>
      <c r="P700">
        <f t="shared" si="75"/>
        <v>0</v>
      </c>
    </row>
    <row r="701" spans="1:16" x14ac:dyDescent="0.25">
      <c r="A701" s="2">
        <f>'Historical Prices'!A699</f>
        <v>46142</v>
      </c>
      <c r="B701" s="3">
        <f>'Historical Prices'!C699/'Historical Prices'!C698-1</f>
        <v>-9.3709716279153366E-3</v>
      </c>
      <c r="C701" s="3">
        <f>'Historical Prices'!B699/'Historical Prices'!B698-1</f>
        <v>-2.1675426465979752E-2</v>
      </c>
      <c r="D701" s="3">
        <f>'Historical Prices'!D699/'Historical Prices'!D698-1</f>
        <v>-1.3739184115042269E-2</v>
      </c>
      <c r="E701" s="3">
        <f>'Historical Prices'!E699/'Historical Prices'!E698-1</f>
        <v>1.2248465296620603E-2</v>
      </c>
      <c r="F701" s="3">
        <f>'Historical Prices'!F699/'Historical Prices'!F698-1</f>
        <v>-1.7384200224188517E-2</v>
      </c>
      <c r="G701" s="9">
        <f t="shared" si="76"/>
        <v>-1.0197725399559269E-2</v>
      </c>
      <c r="H701" s="6">
        <f t="shared" si="77"/>
        <v>-10197.725399559269</v>
      </c>
      <c r="I701" s="9">
        <f t="shared" si="68"/>
        <v>1.7478869982967105E-2</v>
      </c>
      <c r="J701">
        <f t="shared" si="69"/>
        <v>0</v>
      </c>
      <c r="K701" s="5">
        <f t="shared" si="70"/>
        <v>1.698416182294861E-2</v>
      </c>
      <c r="L701">
        <f t="shared" si="71"/>
        <v>0</v>
      </c>
      <c r="M701" s="9">
        <f t="shared" si="72"/>
        <v>2.5598995175695836E-2</v>
      </c>
      <c r="N701">
        <f t="shared" si="73"/>
        <v>0</v>
      </c>
      <c r="O701" s="5">
        <f t="shared" si="74"/>
        <v>2.396732366602156E-2</v>
      </c>
      <c r="P701">
        <f t="shared" si="75"/>
        <v>0</v>
      </c>
    </row>
    <row r="702" spans="1:16" x14ac:dyDescent="0.25">
      <c r="A702" s="2">
        <f>'Historical Prices'!A700</f>
        <v>46143</v>
      </c>
      <c r="B702" s="3">
        <f>'Historical Prices'!C700/'Historical Prices'!C699-1</f>
        <v>0</v>
      </c>
      <c r="C702" s="3">
        <f>'Historical Prices'!B700/'Historical Prices'!B699-1</f>
        <v>0</v>
      </c>
      <c r="D702" s="3">
        <f>'Historical Prices'!D700/'Historical Prices'!D699-1</f>
        <v>0</v>
      </c>
      <c r="E702" s="3">
        <f>'Historical Prices'!E700/'Historical Prices'!E699-1</f>
        <v>0</v>
      </c>
      <c r="F702" s="3">
        <f>'Historical Prices'!F700/'Historical Prices'!F699-1</f>
        <v>0</v>
      </c>
      <c r="G702" s="9">
        <f t="shared" si="76"/>
        <v>0</v>
      </c>
      <c r="H702" s="6">
        <f t="shared" si="77"/>
        <v>0</v>
      </c>
      <c r="I702" s="9">
        <f t="shared" si="68"/>
        <v>1.7478869982967105E-2</v>
      </c>
      <c r="J702">
        <f t="shared" si="69"/>
        <v>0</v>
      </c>
      <c r="K702" s="5">
        <f t="shared" si="70"/>
        <v>1.7049594921872309E-2</v>
      </c>
      <c r="L702">
        <f t="shared" si="71"/>
        <v>0</v>
      </c>
      <c r="M702" s="9">
        <f t="shared" si="72"/>
        <v>2.5598995175695836E-2</v>
      </c>
      <c r="N702">
        <f t="shared" si="73"/>
        <v>0</v>
      </c>
      <c r="O702" s="5">
        <f t="shared" si="74"/>
        <v>2.4020123133574236E-2</v>
      </c>
      <c r="P702">
        <f t="shared" si="75"/>
        <v>0</v>
      </c>
    </row>
    <row r="703" spans="1:16" x14ac:dyDescent="0.25">
      <c r="A703" s="2">
        <f>'Historical Prices'!A701</f>
        <v>46146</v>
      </c>
      <c r="B703" s="3">
        <f>'Historical Prices'!C701/'Historical Prices'!C700-1</f>
        <v>9.9780363404577965E-3</v>
      </c>
      <c r="C703" s="3">
        <f>'Historical Prices'!B701/'Historical Prices'!B700-1</f>
        <v>5.3614427484269811E-3</v>
      </c>
      <c r="D703" s="3">
        <f>'Historical Prices'!D701/'Historical Prices'!D700-1</f>
        <v>5.8572095444637817E-3</v>
      </c>
      <c r="E703" s="3">
        <f>'Historical Prices'!E701/'Historical Prices'!E700-1</f>
        <v>-1.1338667231728716E-2</v>
      </c>
      <c r="F703" s="3">
        <f>'Historical Prices'!F701/'Historical Prices'!F700-1</f>
        <v>2.9055773768771331E-3</v>
      </c>
      <c r="G703" s="9">
        <f t="shared" si="76"/>
        <v>2.8961518286754907E-3</v>
      </c>
      <c r="H703" s="6">
        <f t="shared" si="77"/>
        <v>2896.1518286754908</v>
      </c>
      <c r="I703" s="9">
        <f t="shared" si="68"/>
        <v>1.7478869982967105E-2</v>
      </c>
      <c r="J703">
        <f t="shared" si="69"/>
        <v>0</v>
      </c>
      <c r="K703" s="5">
        <f t="shared" si="70"/>
        <v>1.7043523234789793E-2</v>
      </c>
      <c r="L703">
        <f t="shared" si="71"/>
        <v>0</v>
      </c>
      <c r="M703" s="9">
        <f t="shared" si="72"/>
        <v>2.5598995175695836E-2</v>
      </c>
      <c r="N703">
        <f t="shared" si="73"/>
        <v>0</v>
      </c>
      <c r="O703" s="5">
        <f t="shared" si="74"/>
        <v>2.4013869982966087E-2</v>
      </c>
      <c r="P703">
        <f t="shared" si="75"/>
        <v>0</v>
      </c>
    </row>
    <row r="704" spans="1:16" x14ac:dyDescent="0.25">
      <c r="A704" s="2">
        <f>'Historical Prices'!A702</f>
        <v>46147</v>
      </c>
      <c r="B704" s="3">
        <f>'Historical Prices'!C702/'Historical Prices'!C701-1</f>
        <v>-9.1096721417572857E-3</v>
      </c>
      <c r="C704" s="3">
        <f>'Historical Prices'!B702/'Historical Prices'!B701-1</f>
        <v>-1.2077429140827323E-2</v>
      </c>
      <c r="D704" s="3">
        <f>'Historical Prices'!D702/'Historical Prices'!D701-1</f>
        <v>-1.534470888992312E-2</v>
      </c>
      <c r="E704" s="3">
        <f>'Historical Prices'!E702/'Historical Prices'!E701-1</f>
        <v>8.3019187733577304E-3</v>
      </c>
      <c r="F704" s="3">
        <f>'Historical Prices'!F702/'Historical Prices'!F701-1</f>
        <v>3.3574759317213543E-2</v>
      </c>
      <c r="G704" s="9">
        <f t="shared" si="76"/>
        <v>3.6635460282158361E-4</v>
      </c>
      <c r="H704" s="6">
        <f t="shared" si="77"/>
        <v>366.35460282158363</v>
      </c>
      <c r="I704" s="9">
        <f t="shared" ref="I704:I744" si="78">-_xlfn.PERCENTILE.INC(G454:G703, 0.05)</f>
        <v>1.7478869982967105E-2</v>
      </c>
      <c r="J704">
        <f t="shared" ref="J704:J744" si="79">--($G704&lt;-I704)</f>
        <v>0</v>
      </c>
      <c r="K704" s="5">
        <f t="shared" ref="K704:K744" si="80">_xlfn.NORM.S.INV(0.95)*_xlfn.STDEV.S($G454:$G703)-AVERAGE($G454:$G703)</f>
        <v>1.7042854846598943E-2</v>
      </c>
      <c r="L704">
        <f t="shared" ref="L704:L744" si="81">--($G704&lt;-K704)</f>
        <v>0</v>
      </c>
      <c r="M704" s="9">
        <f t="shared" ref="M704:M744" si="82">-_xlfn.PERCENTILE.INC(G454:G693, 0.01)</f>
        <v>2.5598995175695836E-2</v>
      </c>
      <c r="N704">
        <f t="shared" ref="N704:N744" si="83">--($G704&lt;-M704)</f>
        <v>0</v>
      </c>
      <c r="O704" s="5">
        <f t="shared" ref="O704:O744" si="84">_xlfn.NORM.S.INV(0.99)*_xlfn.STDEV.S($G454:$G703)-AVERAGE($G454:$G703)</f>
        <v>2.4013454381389705E-2</v>
      </c>
      <c r="P704">
        <f t="shared" ref="P704:P744" si="85">--($G704&lt;-O704)</f>
        <v>0</v>
      </c>
    </row>
    <row r="705" spans="1:16" x14ac:dyDescent="0.25">
      <c r="A705" s="2">
        <f>'Historical Prices'!A703</f>
        <v>46148</v>
      </c>
      <c r="B705" s="3">
        <f>'Historical Prices'!C703/'Historical Prices'!C702-1</f>
        <v>3.1399749089936924E-2</v>
      </c>
      <c r="C705" s="3">
        <f>'Historical Prices'!B703/'Historical Prices'!B702-1</f>
        <v>2.7387453437954346E-2</v>
      </c>
      <c r="D705" s="3">
        <f>'Historical Prices'!D703/'Historical Prices'!D702-1</f>
        <v>2.2536550583504456E-2</v>
      </c>
      <c r="E705" s="3">
        <f>'Historical Prices'!E703/'Historical Prices'!E702-1</f>
        <v>-9.2522402559140904E-3</v>
      </c>
      <c r="F705" s="3">
        <f>'Historical Prices'!F703/'Historical Prices'!F702-1</f>
        <v>2.8030401170609176E-2</v>
      </c>
      <c r="G705" s="9">
        <f t="shared" si="76"/>
        <v>2.0500461367595171E-2</v>
      </c>
      <c r="H705" s="6">
        <f t="shared" si="77"/>
        <v>20500.46136759517</v>
      </c>
      <c r="I705" s="9">
        <f t="shared" si="78"/>
        <v>1.7478869982967105E-2</v>
      </c>
      <c r="J705">
        <f t="shared" si="79"/>
        <v>0</v>
      </c>
      <c r="K705" s="5">
        <f t="shared" si="80"/>
        <v>1.7041400786993663E-2</v>
      </c>
      <c r="L705">
        <f t="shared" si="81"/>
        <v>0</v>
      </c>
      <c r="M705" s="9">
        <f t="shared" si="82"/>
        <v>2.5598995175695836E-2</v>
      </c>
      <c r="N705">
        <f t="shared" si="83"/>
        <v>0</v>
      </c>
      <c r="O705" s="5">
        <f t="shared" si="84"/>
        <v>2.4012040830925507E-2</v>
      </c>
      <c r="P705">
        <f t="shared" si="85"/>
        <v>0</v>
      </c>
    </row>
    <row r="706" spans="1:16" x14ac:dyDescent="0.25">
      <c r="A706" s="2">
        <f>'Historical Prices'!A704</f>
        <v>46149</v>
      </c>
      <c r="B706" s="3">
        <f>'Historical Prices'!C704/'Historical Prices'!C703-1</f>
        <v>-6.2772932566956818E-4</v>
      </c>
      <c r="C706" s="3">
        <f>'Historical Prices'!B704/'Historical Prices'!B703-1</f>
        <v>-1.1590614839690483E-3</v>
      </c>
      <c r="D706" s="3">
        <f>'Historical Prices'!D704/'Historical Prices'!D703-1</f>
        <v>-3.908009948389024E-4</v>
      </c>
      <c r="E706" s="3">
        <f>'Historical Prices'!E704/'Historical Prices'!E703-1</f>
        <v>-3.8553611830106638E-3</v>
      </c>
      <c r="F706" s="3">
        <f>'Historical Prices'!F704/'Historical Prices'!F703-1</f>
        <v>2.117668795210248E-2</v>
      </c>
      <c r="G706" s="9">
        <f t="shared" si="76"/>
        <v>2.9417362215596451E-3</v>
      </c>
      <c r="H706" s="6">
        <f t="shared" si="77"/>
        <v>2941.7362215596449</v>
      </c>
      <c r="I706" s="9">
        <f t="shared" si="78"/>
        <v>1.7478869982967105E-2</v>
      </c>
      <c r="J706">
        <f t="shared" si="79"/>
        <v>0</v>
      </c>
      <c r="K706" s="5">
        <f t="shared" si="80"/>
        <v>1.7108483901284364E-2</v>
      </c>
      <c r="L706">
        <f t="shared" si="81"/>
        <v>0</v>
      </c>
      <c r="M706" s="9">
        <f t="shared" si="82"/>
        <v>2.5598995175695836E-2</v>
      </c>
      <c r="N706">
        <f t="shared" si="83"/>
        <v>0</v>
      </c>
      <c r="O706" s="5">
        <f t="shared" si="84"/>
        <v>2.4129224854939981E-2</v>
      </c>
      <c r="P706">
        <f t="shared" si="85"/>
        <v>0</v>
      </c>
    </row>
    <row r="707" spans="1:16" x14ac:dyDescent="0.25">
      <c r="A707" s="2">
        <f>'Historical Prices'!A705</f>
        <v>46150</v>
      </c>
      <c r="B707" s="3">
        <f>'Historical Prices'!C705/'Historical Prices'!C704-1</f>
        <v>-1.9094287675940236E-2</v>
      </c>
      <c r="C707" s="3">
        <f>'Historical Prices'!B705/'Historical Prices'!B704-1</f>
        <v>-1.8875151358905273E-2</v>
      </c>
      <c r="D707" s="3">
        <f>'Historical Prices'!D705/'Historical Prices'!D704-1</f>
        <v>-1.1102336627374365E-2</v>
      </c>
      <c r="E707" s="3">
        <f>'Historical Prices'!E705/'Historical Prices'!E704-1</f>
        <v>1.4191107413720205E-2</v>
      </c>
      <c r="F707" s="3">
        <f>'Historical Prices'!F705/'Historical Prices'!F704-1</f>
        <v>-1.1956021654544013E-2</v>
      </c>
      <c r="G707" s="9">
        <f t="shared" si="76"/>
        <v>-9.722114524413631E-3</v>
      </c>
      <c r="H707" s="6">
        <f t="shared" si="77"/>
        <v>-9722.1145244136314</v>
      </c>
      <c r="I707" s="9">
        <f t="shared" si="78"/>
        <v>1.7478869982967105E-2</v>
      </c>
      <c r="J707">
        <f t="shared" si="79"/>
        <v>0</v>
      </c>
      <c r="K707" s="5">
        <f t="shared" si="80"/>
        <v>1.7104297825508229E-2</v>
      </c>
      <c r="L707">
        <f t="shared" si="81"/>
        <v>0</v>
      </c>
      <c r="M707" s="9">
        <f t="shared" si="82"/>
        <v>2.5598995175695836E-2</v>
      </c>
      <c r="N707">
        <f t="shared" si="83"/>
        <v>0</v>
      </c>
      <c r="O707" s="5">
        <f t="shared" si="84"/>
        <v>2.4126036026974322E-2</v>
      </c>
      <c r="P707">
        <f t="shared" si="85"/>
        <v>0</v>
      </c>
    </row>
    <row r="708" spans="1:16" x14ac:dyDescent="0.25">
      <c r="A708" s="2">
        <f>'Historical Prices'!A706</f>
        <v>46153</v>
      </c>
      <c r="B708" s="3">
        <f>'Historical Prices'!C706/'Historical Prices'!C705-1</f>
        <v>-2.2027220345781418E-2</v>
      </c>
      <c r="C708" s="3">
        <f>'Historical Prices'!B706/'Historical Prices'!B705-1</f>
        <v>3.1538521776390827E-3</v>
      </c>
      <c r="D708" s="3">
        <f>'Historical Prices'!D706/'Historical Prices'!D705-1</f>
        <v>1.2649613776549717E-3</v>
      </c>
      <c r="E708" s="3">
        <f>'Historical Prices'!E706/'Historical Prices'!E705-1</f>
        <v>-1.8656012010918044E-3</v>
      </c>
      <c r="F708" s="3">
        <f>'Historical Prices'!F706/'Historical Prices'!F705-1</f>
        <v>-2.5372323466734348E-2</v>
      </c>
      <c r="G708" s="9">
        <f t="shared" si="76"/>
        <v>-9.0079134933367336E-3</v>
      </c>
      <c r="H708" s="6">
        <f t="shared" si="77"/>
        <v>-9007.9134933367332</v>
      </c>
      <c r="I708" s="9">
        <f t="shared" si="78"/>
        <v>1.7478869982967105E-2</v>
      </c>
      <c r="J708">
        <f t="shared" si="79"/>
        <v>0</v>
      </c>
      <c r="K708" s="5">
        <f t="shared" si="80"/>
        <v>1.7183671561707248E-2</v>
      </c>
      <c r="L708">
        <f t="shared" si="81"/>
        <v>0</v>
      </c>
      <c r="M708" s="9">
        <f t="shared" si="82"/>
        <v>2.5598995175695836E-2</v>
      </c>
      <c r="N708">
        <f t="shared" si="83"/>
        <v>0</v>
      </c>
      <c r="O708" s="5">
        <f t="shared" si="84"/>
        <v>2.421397425178529E-2</v>
      </c>
      <c r="P708">
        <f t="shared" si="85"/>
        <v>0</v>
      </c>
    </row>
    <row r="709" spans="1:16" x14ac:dyDescent="0.25">
      <c r="A709" s="2">
        <f>'Historical Prices'!A707</f>
        <v>46154</v>
      </c>
      <c r="B709" s="3">
        <f>'Historical Prices'!C707/'Historical Prices'!C706-1</f>
        <v>-1.7285402840883424E-2</v>
      </c>
      <c r="C709" s="3">
        <f>'Historical Prices'!B707/'Historical Prices'!B706-1</f>
        <v>-9.5889924289342954E-3</v>
      </c>
      <c r="D709" s="3">
        <f>'Historical Prices'!D707/'Historical Prices'!D706-1</f>
        <v>-2.0609530737870752E-2</v>
      </c>
      <c r="E709" s="3">
        <f>'Historical Prices'!E707/'Historical Prices'!E706-1</f>
        <v>-3.118092572207487E-2</v>
      </c>
      <c r="F709" s="3">
        <f>'Historical Prices'!F707/'Historical Prices'!F706-1</f>
        <v>-2.1534787809747713E-2</v>
      </c>
      <c r="G709" s="9">
        <f t="shared" si="76"/>
        <v>-2.0005535792556876E-2</v>
      </c>
      <c r="H709" s="6">
        <f t="shared" si="77"/>
        <v>-20005.535792556875</v>
      </c>
      <c r="I709" s="9">
        <f t="shared" si="78"/>
        <v>1.7478869982967105E-2</v>
      </c>
      <c r="J709">
        <f t="shared" si="79"/>
        <v>1</v>
      </c>
      <c r="K709" s="5">
        <f t="shared" si="80"/>
        <v>1.7216417339097394E-2</v>
      </c>
      <c r="L709">
        <f t="shared" si="81"/>
        <v>1</v>
      </c>
      <c r="M709" s="9">
        <f t="shared" si="82"/>
        <v>2.5598995175695836E-2</v>
      </c>
      <c r="N709">
        <f t="shared" si="83"/>
        <v>0</v>
      </c>
      <c r="O709" s="5">
        <f t="shared" si="84"/>
        <v>2.4253803942291579E-2</v>
      </c>
      <c r="P709">
        <f t="shared" si="85"/>
        <v>0</v>
      </c>
    </row>
    <row r="710" spans="1:16" x14ac:dyDescent="0.25">
      <c r="A710" s="2">
        <f>'Historical Prices'!A708</f>
        <v>46155</v>
      </c>
      <c r="B710" s="3">
        <f>'Historical Prices'!C708/'Historical Prices'!C707-1</f>
        <v>-1.1326692143731609E-3</v>
      </c>
      <c r="C710" s="3">
        <f>'Historical Prices'!B708/'Historical Prices'!B707-1</f>
        <v>-3.4917842196207083E-3</v>
      </c>
      <c r="D710" s="3">
        <f>'Historical Prices'!D708/'Historical Prices'!D707-1</f>
        <v>-3.7894532492168675E-3</v>
      </c>
      <c r="E710" s="3">
        <f>'Historical Prices'!E708/'Historical Prices'!E707-1</f>
        <v>-1.5083864686516346E-2</v>
      </c>
      <c r="F710" s="3">
        <f>'Historical Prices'!F708/'Historical Prices'!F707-1</f>
        <v>-2.0214075157707123E-2</v>
      </c>
      <c r="G710" s="9">
        <f t="shared" ref="G710:G744" si="86">SUMPRODUCT(B710:F710, $B$2:$F$2)</f>
        <v>-8.425509878272187E-3</v>
      </c>
      <c r="H710" s="6">
        <f t="shared" ref="H710:H744" si="87">G710*1000000</f>
        <v>-8425.5098782721871</v>
      </c>
      <c r="I710" s="9">
        <f t="shared" si="78"/>
        <v>1.7478869982967105E-2</v>
      </c>
      <c r="J710">
        <f t="shared" si="79"/>
        <v>0</v>
      </c>
      <c r="K710" s="5">
        <f t="shared" si="80"/>
        <v>1.7238179188295063E-2</v>
      </c>
      <c r="L710">
        <f t="shared" si="81"/>
        <v>0</v>
      </c>
      <c r="M710" s="9">
        <f t="shared" si="82"/>
        <v>2.5598995175695836E-2</v>
      </c>
      <c r="N710">
        <f t="shared" si="83"/>
        <v>0</v>
      </c>
      <c r="O710" s="5">
        <f t="shared" si="84"/>
        <v>2.4282357654791621E-2</v>
      </c>
      <c r="P710">
        <f t="shared" si="85"/>
        <v>0</v>
      </c>
    </row>
    <row r="711" spans="1:16" x14ac:dyDescent="0.25">
      <c r="A711" s="2">
        <f>'Historical Prices'!A709</f>
        <v>46156</v>
      </c>
      <c r="B711" s="3">
        <f>'Historical Prices'!C709/'Historical Prices'!C708-1</f>
        <v>2.6614222277917543E-2</v>
      </c>
      <c r="C711" s="3">
        <f>'Historical Prices'!B709/'Historical Prices'!B708-1</f>
        <v>-8.7598055292037458E-4</v>
      </c>
      <c r="D711" s="3">
        <f>'Historical Prices'!D709/'Historical Prices'!D708-1</f>
        <v>8.4169081382008404E-3</v>
      </c>
      <c r="E711" s="3">
        <f>'Historical Prices'!E709/'Historical Prices'!E708-1</f>
        <v>-2.5019987652073139E-2</v>
      </c>
      <c r="F711" s="3">
        <f>'Historical Prices'!F709/'Historical Prices'!F708-1</f>
        <v>1.995620080211058E-2</v>
      </c>
      <c r="G711" s="9">
        <f t="shared" si="86"/>
        <v>6.603526593024666E-3</v>
      </c>
      <c r="H711" s="6">
        <f t="shared" si="87"/>
        <v>6603.526593024666</v>
      </c>
      <c r="I711" s="9">
        <f t="shared" si="78"/>
        <v>1.7478869982967105E-2</v>
      </c>
      <c r="J711">
        <f t="shared" si="79"/>
        <v>0</v>
      </c>
      <c r="K711" s="5">
        <f t="shared" si="80"/>
        <v>1.6718032781369154E-2</v>
      </c>
      <c r="L711">
        <f t="shared" si="81"/>
        <v>0</v>
      </c>
      <c r="M711" s="9">
        <f t="shared" si="82"/>
        <v>2.5598995175695836E-2</v>
      </c>
      <c r="N711">
        <f t="shared" si="83"/>
        <v>0</v>
      </c>
      <c r="O711" s="5">
        <f t="shared" si="84"/>
        <v>2.3452987653178874E-2</v>
      </c>
      <c r="P711">
        <f t="shared" si="85"/>
        <v>0</v>
      </c>
    </row>
    <row r="712" spans="1:16" x14ac:dyDescent="0.25">
      <c r="A712" s="2">
        <f>'Historical Prices'!A710</f>
        <v>46157</v>
      </c>
      <c r="B712" s="3">
        <f>'Historical Prices'!C710/'Historical Prices'!C709-1</f>
        <v>-2.6639166161285255E-3</v>
      </c>
      <c r="C712" s="3">
        <f>'Historical Prices'!B710/'Historical Prices'!B709-1</f>
        <v>-7.8111831792032627E-3</v>
      </c>
      <c r="D712" s="3">
        <f>'Historical Prices'!D710/'Historical Prices'!D709-1</f>
        <v>-1.2038254876880483E-3</v>
      </c>
      <c r="E712" s="3">
        <f>'Historical Prices'!E710/'Historical Prices'!E709-1</f>
        <v>2.1917849407550483E-2</v>
      </c>
      <c r="F712" s="3">
        <f>'Historical Prices'!F710/'Historical Prices'!F709-1</f>
        <v>-1.6005437929793476E-2</v>
      </c>
      <c r="G712" s="9">
        <f t="shared" si="86"/>
        <v>-1.3255535537468307E-3</v>
      </c>
      <c r="H712" s="6">
        <f t="shared" si="87"/>
        <v>-1325.5535537468306</v>
      </c>
      <c r="I712" s="9">
        <f t="shared" si="78"/>
        <v>1.7439760991495277E-2</v>
      </c>
      <c r="J712">
        <f t="shared" si="79"/>
        <v>0</v>
      </c>
      <c r="K712" s="5">
        <f t="shared" si="80"/>
        <v>1.6536497933094016E-2</v>
      </c>
      <c r="L712">
        <f t="shared" si="81"/>
        <v>0</v>
      </c>
      <c r="M712" s="9">
        <f t="shared" si="82"/>
        <v>2.5598995175695836E-2</v>
      </c>
      <c r="N712">
        <f t="shared" si="83"/>
        <v>0</v>
      </c>
      <c r="O712" s="5">
        <f t="shared" si="84"/>
        <v>2.3236590988166238E-2</v>
      </c>
      <c r="P712">
        <f t="shared" si="85"/>
        <v>0</v>
      </c>
    </row>
    <row r="713" spans="1:16" x14ac:dyDescent="0.25">
      <c r="A713" s="2">
        <f>'Historical Prices'!A711</f>
        <v>46160</v>
      </c>
      <c r="B713" s="3">
        <f>'Historical Prices'!C711/'Historical Prices'!C710-1</f>
        <v>1.4983680439768499E-3</v>
      </c>
      <c r="C713" s="3">
        <f>'Historical Prices'!B711/'Historical Prices'!B710-1</f>
        <v>-5.5431332354028973E-3</v>
      </c>
      <c r="D713" s="3">
        <f>'Historical Prices'!D711/'Historical Prices'!D710-1</f>
        <v>5.3033152075316892E-3</v>
      </c>
      <c r="E713" s="3">
        <f>'Historical Prices'!E711/'Historical Prices'!E710-1</f>
        <v>2.1000848686876683E-2</v>
      </c>
      <c r="F713" s="3">
        <f>'Historical Prices'!F711/'Historical Prices'!F710-1</f>
        <v>-1.2615728370585444E-2</v>
      </c>
      <c r="G713" s="9">
        <f t="shared" si="86"/>
        <v>1.9378335857836667E-3</v>
      </c>
      <c r="H713" s="6">
        <f t="shared" si="87"/>
        <v>1937.8335857836666</v>
      </c>
      <c r="I713" s="9">
        <f t="shared" si="78"/>
        <v>1.7439760991495277E-2</v>
      </c>
      <c r="J713">
        <f t="shared" si="79"/>
        <v>0</v>
      </c>
      <c r="K713" s="5">
        <f t="shared" si="80"/>
        <v>1.6551777011518182E-2</v>
      </c>
      <c r="L713">
        <f t="shared" si="81"/>
        <v>0</v>
      </c>
      <c r="M713" s="9">
        <f t="shared" si="82"/>
        <v>2.5598995175695836E-2</v>
      </c>
      <c r="N713">
        <f t="shared" si="83"/>
        <v>0</v>
      </c>
      <c r="O713" s="5">
        <f t="shared" si="84"/>
        <v>2.3249198772713062E-2</v>
      </c>
      <c r="P713">
        <f t="shared" si="85"/>
        <v>0</v>
      </c>
    </row>
    <row r="714" spans="1:16" x14ac:dyDescent="0.25">
      <c r="A714" s="2">
        <f>'Historical Prices'!A712</f>
        <v>46161</v>
      </c>
      <c r="B714" s="3">
        <f>'Historical Prices'!C712/'Historical Prices'!C711-1</f>
        <v>-8.0660862433871161E-3</v>
      </c>
      <c r="C714" s="3">
        <f>'Historical Prices'!B712/'Historical Prices'!B711-1</f>
        <v>3.2319944356373753E-4</v>
      </c>
      <c r="D714" s="3">
        <f>'Historical Prices'!D712/'Historical Prices'!D711-1</f>
        <v>-8.2327355534785873E-3</v>
      </c>
      <c r="E714" s="3">
        <f>'Historical Prices'!E712/'Historical Prices'!E711-1</f>
        <v>4.7614925643908013E-2</v>
      </c>
      <c r="F714" s="3">
        <f>'Historical Prices'!F712/'Historical Prices'!F711-1</f>
        <v>2.7888957149009297E-3</v>
      </c>
      <c r="G714" s="9">
        <f t="shared" si="86"/>
        <v>5.7931503362543277E-3</v>
      </c>
      <c r="H714" s="6">
        <f t="shared" si="87"/>
        <v>5793.1503362543281</v>
      </c>
      <c r="I714" s="9">
        <f t="shared" si="78"/>
        <v>1.7439760991495277E-2</v>
      </c>
      <c r="J714">
        <f t="shared" si="79"/>
        <v>0</v>
      </c>
      <c r="K714" s="5">
        <f t="shared" si="80"/>
        <v>1.653411007392994E-2</v>
      </c>
      <c r="L714">
        <f t="shared" si="81"/>
        <v>0</v>
      </c>
      <c r="M714" s="9">
        <f t="shared" si="82"/>
        <v>2.5598995175695836E-2</v>
      </c>
      <c r="N714">
        <f t="shared" si="83"/>
        <v>0</v>
      </c>
      <c r="O714" s="5">
        <f t="shared" si="84"/>
        <v>2.3204862982926785E-2</v>
      </c>
      <c r="P714">
        <f t="shared" si="85"/>
        <v>0</v>
      </c>
    </row>
    <row r="715" spans="1:16" x14ac:dyDescent="0.25">
      <c r="A715" s="2">
        <f>'Historical Prices'!A713</f>
        <v>46162</v>
      </c>
      <c r="B715" s="3">
        <f>'Historical Prices'!C713/'Historical Prices'!C712-1</f>
        <v>-3.8690729035346649E-3</v>
      </c>
      <c r="C715" s="3">
        <f>'Historical Prices'!B713/'Historical Prices'!B712-1</f>
        <v>9.2868853906498128E-3</v>
      </c>
      <c r="D715" s="3">
        <f>'Historical Prices'!D713/'Historical Prices'!D712-1</f>
        <v>-2.8207309038392747E-3</v>
      </c>
      <c r="E715" s="3">
        <f>'Historical Prices'!E713/'Historical Prices'!E712-1</f>
        <v>-2.6736616713510797E-3</v>
      </c>
      <c r="F715" s="3">
        <f>'Historical Prices'!F713/'Historical Prices'!F712-1</f>
        <v>9.6691265842063778E-3</v>
      </c>
      <c r="G715" s="9">
        <f t="shared" si="86"/>
        <v>1.6263309629224617E-3</v>
      </c>
      <c r="H715" s="6">
        <f t="shared" si="87"/>
        <v>1626.3309629224616</v>
      </c>
      <c r="I715" s="9">
        <f t="shared" si="78"/>
        <v>1.7439760991495277E-2</v>
      </c>
      <c r="J715">
        <f t="shared" si="79"/>
        <v>0</v>
      </c>
      <c r="K715" s="5">
        <f t="shared" si="80"/>
        <v>1.651184573912097E-2</v>
      </c>
      <c r="L715">
        <f t="shared" si="81"/>
        <v>0</v>
      </c>
      <c r="M715" s="9">
        <f t="shared" si="82"/>
        <v>2.5598995175695836E-2</v>
      </c>
      <c r="N715">
        <f t="shared" si="83"/>
        <v>0</v>
      </c>
      <c r="O715" s="5">
        <f t="shared" si="84"/>
        <v>2.3187311630112804E-2</v>
      </c>
      <c r="P715">
        <f t="shared" si="85"/>
        <v>0</v>
      </c>
    </row>
    <row r="716" spans="1:16" x14ac:dyDescent="0.25">
      <c r="A716" s="2">
        <f>'Historical Prices'!A714</f>
        <v>46163</v>
      </c>
      <c r="B716" s="3">
        <f>'Historical Prices'!C714/'Historical Prices'!C713-1</f>
        <v>-4.6082136159031339E-4</v>
      </c>
      <c r="C716" s="3">
        <f>'Historical Prices'!B714/'Historical Prices'!B713-1</f>
        <v>2.8004573005038225E-3</v>
      </c>
      <c r="D716" s="3">
        <f>'Historical Prices'!D714/'Historical Prices'!D713-1</f>
        <v>4.4451298224847946E-3</v>
      </c>
      <c r="E716" s="3">
        <f>'Historical Prices'!E714/'Historical Prices'!E713-1</f>
        <v>-1.0471636857327993E-2</v>
      </c>
      <c r="F716" s="3">
        <f>'Historical Prices'!F714/'Historical Prices'!F713-1</f>
        <v>-7.4306861737718499E-3</v>
      </c>
      <c r="G716" s="9">
        <f t="shared" si="86"/>
        <v>-1.9303175772793961E-3</v>
      </c>
      <c r="H716" s="6">
        <f t="shared" si="87"/>
        <v>-1930.3175772793961</v>
      </c>
      <c r="I716" s="9">
        <f t="shared" si="78"/>
        <v>1.7439760991495277E-2</v>
      </c>
      <c r="J716">
        <f t="shared" si="79"/>
        <v>0</v>
      </c>
      <c r="K716" s="5">
        <f t="shared" si="80"/>
        <v>1.6477956884599573E-2</v>
      </c>
      <c r="L716">
        <f t="shared" si="81"/>
        <v>0</v>
      </c>
      <c r="M716" s="9">
        <f t="shared" si="82"/>
        <v>2.5598995175695836E-2</v>
      </c>
      <c r="N716">
        <f t="shared" si="83"/>
        <v>0</v>
      </c>
      <c r="O716" s="5">
        <f t="shared" si="84"/>
        <v>2.3150725840714186E-2</v>
      </c>
      <c r="P716">
        <f t="shared" si="85"/>
        <v>0</v>
      </c>
    </row>
    <row r="717" spans="1:16" x14ac:dyDescent="0.25">
      <c r="A717" s="2">
        <f>'Historical Prices'!A715</f>
        <v>46164</v>
      </c>
      <c r="B717" s="3">
        <f>'Historical Prices'!C715/'Historical Prices'!C714-1</f>
        <v>1.0077033756975995E-2</v>
      </c>
      <c r="C717" s="3">
        <f>'Historical Prices'!B715/'Historical Prices'!B714-1</f>
        <v>2.5612328228477921E-2</v>
      </c>
      <c r="D717" s="3">
        <f>'Historical Prices'!D715/'Historical Prices'!D714-1</f>
        <v>1.7299689062019619E-2</v>
      </c>
      <c r="E717" s="3">
        <f>'Historical Prices'!E715/'Historical Prices'!E714-1</f>
        <v>-5.6722139435274599E-3</v>
      </c>
      <c r="F717" s="3">
        <f>'Historical Prices'!F715/'Historical Prices'!F714-1</f>
        <v>-5.7114594110234673E-3</v>
      </c>
      <c r="G717" s="9">
        <f t="shared" si="86"/>
        <v>8.6379913922927827E-3</v>
      </c>
      <c r="H717" s="6">
        <f t="shared" si="87"/>
        <v>8637.9913922927826</v>
      </c>
      <c r="I717" s="9">
        <f t="shared" si="78"/>
        <v>1.7439760991495277E-2</v>
      </c>
      <c r="J717">
        <f t="shared" si="79"/>
        <v>0</v>
      </c>
      <c r="K717" s="5">
        <f t="shared" si="80"/>
        <v>1.6422906084115927E-2</v>
      </c>
      <c r="L717">
        <f t="shared" si="81"/>
        <v>0</v>
      </c>
      <c r="M717" s="9">
        <f t="shared" si="82"/>
        <v>2.5598995175695836E-2</v>
      </c>
      <c r="N717">
        <f t="shared" si="83"/>
        <v>0</v>
      </c>
      <c r="O717" s="5">
        <f t="shared" si="84"/>
        <v>2.3084982795872618E-2</v>
      </c>
      <c r="P717">
        <f t="shared" si="85"/>
        <v>0</v>
      </c>
    </row>
    <row r="718" spans="1:16" x14ac:dyDescent="0.25">
      <c r="A718" s="2">
        <f>'Historical Prices'!A716</f>
        <v>46167</v>
      </c>
      <c r="B718" s="3">
        <f>'Historical Prices'!C716/'Historical Prices'!C715-1</f>
        <v>2.6147593265809732E-2</v>
      </c>
      <c r="C718" s="3">
        <f>'Historical Prices'!B716/'Historical Prices'!B715-1</f>
        <v>2.0071504318333933E-2</v>
      </c>
      <c r="D718" s="3">
        <f>'Historical Prices'!D716/'Historical Prices'!D715-1</f>
        <v>2.175119954510718E-2</v>
      </c>
      <c r="E718" s="3">
        <f>'Historical Prices'!E716/'Historical Prices'!E715-1</f>
        <v>-5.1084605493267876E-3</v>
      </c>
      <c r="F718" s="3">
        <f>'Historical Prices'!F716/'Historical Prices'!F715-1</f>
        <v>1.8725855881455145E-2</v>
      </c>
      <c r="G718" s="9">
        <f t="shared" si="86"/>
        <v>1.6835668202573539E-2</v>
      </c>
      <c r="H718" s="6">
        <f t="shared" si="87"/>
        <v>16835.668202573539</v>
      </c>
      <c r="I718" s="9">
        <f t="shared" si="78"/>
        <v>1.7439760991495277E-2</v>
      </c>
      <c r="J718">
        <f t="shared" si="79"/>
        <v>0</v>
      </c>
      <c r="K718" s="5">
        <f t="shared" si="80"/>
        <v>1.6426023043002228E-2</v>
      </c>
      <c r="L718">
        <f t="shared" si="81"/>
        <v>0</v>
      </c>
      <c r="M718" s="9">
        <f t="shared" si="82"/>
        <v>2.5598995175695836E-2</v>
      </c>
      <c r="N718">
        <f t="shared" si="83"/>
        <v>0</v>
      </c>
      <c r="O718" s="5">
        <f t="shared" si="84"/>
        <v>2.3094934577184589E-2</v>
      </c>
      <c r="P718">
        <f t="shared" si="85"/>
        <v>0</v>
      </c>
    </row>
    <row r="719" spans="1:16" x14ac:dyDescent="0.25">
      <c r="A719" s="2">
        <f>'Historical Prices'!A717</f>
        <v>46168</v>
      </c>
      <c r="B719" s="3">
        <f>'Historical Prices'!C717/'Historical Prices'!C716-1</f>
        <v>-1.010353495589067E-2</v>
      </c>
      <c r="C719" s="3">
        <f>'Historical Prices'!B717/'Historical Prices'!B716-1</f>
        <v>-9.0755004718127141E-3</v>
      </c>
      <c r="D719" s="3">
        <f>'Historical Prices'!D717/'Historical Prices'!D716-1</f>
        <v>-9.831372474653044E-3</v>
      </c>
      <c r="E719" s="3">
        <f>'Historical Prices'!E717/'Historical Prices'!E716-1</f>
        <v>-6.8476775956283209E-4</v>
      </c>
      <c r="F719" s="3">
        <f>'Historical Prices'!F717/'Historical Prices'!F716-1</f>
        <v>-1.0098771381904958E-2</v>
      </c>
      <c r="G719" s="9">
        <f t="shared" si="86"/>
        <v>-8.1161326889750071E-3</v>
      </c>
      <c r="H719" s="6">
        <f t="shared" si="87"/>
        <v>-8116.1326889750071</v>
      </c>
      <c r="I719" s="9">
        <f t="shared" si="78"/>
        <v>1.7439760991495277E-2</v>
      </c>
      <c r="J719">
        <f t="shared" si="79"/>
        <v>0</v>
      </c>
      <c r="K719" s="5">
        <f t="shared" si="80"/>
        <v>1.6381926570711448E-2</v>
      </c>
      <c r="L719">
        <f t="shared" si="81"/>
        <v>0</v>
      </c>
      <c r="M719" s="9">
        <f t="shared" si="82"/>
        <v>2.5598995175695836E-2</v>
      </c>
      <c r="N719">
        <f t="shared" si="83"/>
        <v>0</v>
      </c>
      <c r="O719" s="5">
        <f t="shared" si="84"/>
        <v>2.3077590572924318E-2</v>
      </c>
      <c r="P719">
        <f t="shared" si="85"/>
        <v>0</v>
      </c>
    </row>
    <row r="720" spans="1:16" x14ac:dyDescent="0.25">
      <c r="A720" s="2">
        <f>'Historical Prices'!A718</f>
        <v>46169</v>
      </c>
      <c r="B720" s="3">
        <f>'Historical Prices'!C718/'Historical Prices'!C717-1</f>
        <v>-2.5998210590779114E-2</v>
      </c>
      <c r="C720" s="3">
        <f>'Historical Prices'!B718/'Historical Prices'!B717-1</f>
        <v>3.6941746185288338E-3</v>
      </c>
      <c r="D720" s="3">
        <f>'Historical Prices'!D718/'Historical Prices'!D717-1</f>
        <v>-5.0034708631797598E-3</v>
      </c>
      <c r="E720" s="3">
        <f>'Historical Prices'!E718/'Historical Prices'!E717-1</f>
        <v>-6.6796722140677334E-3</v>
      </c>
      <c r="F720" s="3">
        <f>'Historical Prices'!F718/'Historical Prices'!F717-1</f>
        <v>4.6020589378583665E-3</v>
      </c>
      <c r="G720" s="9">
        <f t="shared" si="86"/>
        <v>-6.2762934166210992E-3</v>
      </c>
      <c r="H720" s="6">
        <f t="shared" si="87"/>
        <v>-6276.2934166210989</v>
      </c>
      <c r="I720" s="9">
        <f t="shared" si="78"/>
        <v>1.7439760991495277E-2</v>
      </c>
      <c r="J720">
        <f t="shared" si="79"/>
        <v>0</v>
      </c>
      <c r="K720" s="5">
        <f t="shared" si="80"/>
        <v>1.6443329343298681E-2</v>
      </c>
      <c r="L720">
        <f t="shared" si="81"/>
        <v>0</v>
      </c>
      <c r="M720" s="9">
        <f t="shared" si="82"/>
        <v>2.5598995175695836E-2</v>
      </c>
      <c r="N720">
        <f t="shared" si="83"/>
        <v>0</v>
      </c>
      <c r="O720" s="5">
        <f t="shared" si="84"/>
        <v>2.3136832964012193E-2</v>
      </c>
      <c r="P720">
        <f t="shared" si="85"/>
        <v>0</v>
      </c>
    </row>
    <row r="721" spans="1:16" x14ac:dyDescent="0.25">
      <c r="A721" s="2">
        <f>'Historical Prices'!A719</f>
        <v>46170</v>
      </c>
      <c r="B721" s="3">
        <f>'Historical Prices'!C719/'Historical Prices'!C718-1</f>
        <v>0</v>
      </c>
      <c r="C721" s="3">
        <f>'Historical Prices'!B719/'Historical Prices'!B718-1</f>
        <v>0</v>
      </c>
      <c r="D721" s="3">
        <f>'Historical Prices'!D719/'Historical Prices'!D718-1</f>
        <v>0</v>
      </c>
      <c r="E721" s="3">
        <f>'Historical Prices'!E719/'Historical Prices'!E718-1</f>
        <v>0</v>
      </c>
      <c r="F721" s="3">
        <f>'Historical Prices'!F719/'Historical Prices'!F718-1</f>
        <v>0</v>
      </c>
      <c r="G721" s="9">
        <f t="shared" si="86"/>
        <v>0</v>
      </c>
      <c r="H721" s="6">
        <f t="shared" si="87"/>
        <v>0</v>
      </c>
      <c r="I721" s="9">
        <f t="shared" si="78"/>
        <v>1.7439760991495277E-2</v>
      </c>
      <c r="J721">
        <f t="shared" si="79"/>
        <v>0</v>
      </c>
      <c r="K721" s="5">
        <f t="shared" si="80"/>
        <v>1.6486276312233927E-2</v>
      </c>
      <c r="L721">
        <f t="shared" si="81"/>
        <v>0</v>
      </c>
      <c r="M721" s="9">
        <f t="shared" si="82"/>
        <v>2.5598995175695836E-2</v>
      </c>
      <c r="N721">
        <f t="shared" si="83"/>
        <v>0</v>
      </c>
      <c r="O721" s="5">
        <f t="shared" si="84"/>
        <v>2.3171650292811392E-2</v>
      </c>
      <c r="P721">
        <f t="shared" si="85"/>
        <v>0</v>
      </c>
    </row>
    <row r="722" spans="1:16" x14ac:dyDescent="0.25">
      <c r="A722" s="2">
        <f>'Historical Prices'!A720</f>
        <v>46171</v>
      </c>
      <c r="B722" s="3">
        <f>'Historical Prices'!C720/'Historical Prices'!C719-1</f>
        <v>-1.8585668386780441E-2</v>
      </c>
      <c r="C722" s="3">
        <f>'Historical Prices'!B720/'Historical Prices'!B719-1</f>
        <v>-1.3419167895243778E-2</v>
      </c>
      <c r="D722" s="3">
        <f>'Historical Prices'!D720/'Historical Prices'!D719-1</f>
        <v>-1.2807389486416687E-2</v>
      </c>
      <c r="E722" s="3">
        <f>'Historical Prices'!E720/'Historical Prices'!E719-1</f>
        <v>8.6209111823665197E-4</v>
      </c>
      <c r="F722" s="3">
        <f>'Historical Prices'!F720/'Historical Prices'!F719-1</f>
        <v>-2.434641809073379E-2</v>
      </c>
      <c r="G722" s="9">
        <f t="shared" si="86"/>
        <v>-1.3845333142481209E-2</v>
      </c>
      <c r="H722" s="6">
        <f t="shared" si="87"/>
        <v>-13845.33314248121</v>
      </c>
      <c r="I722" s="9">
        <f t="shared" si="78"/>
        <v>1.7439760991495277E-2</v>
      </c>
      <c r="J722">
        <f t="shared" si="79"/>
        <v>0</v>
      </c>
      <c r="K722" s="5">
        <f t="shared" si="80"/>
        <v>1.6410099565379109E-2</v>
      </c>
      <c r="L722">
        <f t="shared" si="81"/>
        <v>0</v>
      </c>
      <c r="M722" s="9">
        <f t="shared" si="82"/>
        <v>2.5598995175695836E-2</v>
      </c>
      <c r="N722">
        <f t="shared" si="83"/>
        <v>0</v>
      </c>
      <c r="O722" s="5">
        <f t="shared" si="84"/>
        <v>2.3081213981446479E-2</v>
      </c>
      <c r="P722">
        <f t="shared" si="85"/>
        <v>0</v>
      </c>
    </row>
    <row r="723" spans="1:16" x14ac:dyDescent="0.25">
      <c r="A723" s="2">
        <f>'Historical Prices'!A721</f>
        <v>46174</v>
      </c>
      <c r="B723" s="3">
        <f>'Historical Prices'!C721/'Historical Prices'!C720-1</f>
        <v>-2.4847023765377507E-3</v>
      </c>
      <c r="C723" s="3">
        <f>'Historical Prices'!B721/'Historical Prices'!B720-1</f>
        <v>-8.3165071562483206E-3</v>
      </c>
      <c r="D723" s="3">
        <f>'Historical Prices'!D721/'Historical Prices'!D720-1</f>
        <v>-1.3291974905118575E-2</v>
      </c>
      <c r="E723" s="3">
        <f>'Historical Prices'!E721/'Historical Prices'!E720-1</f>
        <v>3.5834270006023017E-2</v>
      </c>
      <c r="F723" s="3">
        <f>'Historical Prices'!F721/'Historical Prices'!F720-1</f>
        <v>-2.4757118917118404E-2</v>
      </c>
      <c r="G723" s="9">
        <f t="shared" si="86"/>
        <v>-3.263226323695835E-3</v>
      </c>
      <c r="H723" s="6">
        <f t="shared" si="87"/>
        <v>-3263.2263236958352</v>
      </c>
      <c r="I723" s="9">
        <f t="shared" si="78"/>
        <v>1.7439760991495277E-2</v>
      </c>
      <c r="J723">
        <f t="shared" si="79"/>
        <v>0</v>
      </c>
      <c r="K723" s="5">
        <f t="shared" si="80"/>
        <v>1.6519321232424659E-2</v>
      </c>
      <c r="L723">
        <f t="shared" si="81"/>
        <v>0</v>
      </c>
      <c r="M723" s="9">
        <f t="shared" si="82"/>
        <v>2.5598995175695836E-2</v>
      </c>
      <c r="N723">
        <f t="shared" si="83"/>
        <v>0</v>
      </c>
      <c r="O723" s="5">
        <f t="shared" si="84"/>
        <v>2.3215634256512151E-2</v>
      </c>
      <c r="P723">
        <f t="shared" si="85"/>
        <v>0</v>
      </c>
    </row>
    <row r="724" spans="1:16" x14ac:dyDescent="0.25">
      <c r="A724" s="2">
        <f>'Historical Prices'!A722</f>
        <v>46175</v>
      </c>
      <c r="B724" s="3">
        <f>'Historical Prices'!C722/'Historical Prices'!C721-1</f>
        <v>7.4727580410132166E-3</v>
      </c>
      <c r="C724" s="3">
        <f>'Historical Prices'!B722/'Historical Prices'!B721-1</f>
        <v>-1.9437256453824436E-2</v>
      </c>
      <c r="D724" s="3">
        <f>'Historical Prices'!D722/'Historical Prices'!D721-1</f>
        <v>-1.0567068633913324E-2</v>
      </c>
      <c r="E724" s="3">
        <f>'Historical Prices'!E722/'Historical Prices'!E721-1</f>
        <v>5.6798387260704075E-2</v>
      </c>
      <c r="F724" s="3">
        <f>'Historical Prices'!F722/'Historical Prices'!F721-1</f>
        <v>9.4606871743740939E-3</v>
      </c>
      <c r="G724" s="9">
        <f t="shared" si="86"/>
        <v>7.8712392393269597E-3</v>
      </c>
      <c r="H724" s="6">
        <f t="shared" si="87"/>
        <v>7871.2392393269593</v>
      </c>
      <c r="I724" s="9">
        <f t="shared" si="78"/>
        <v>1.7439760991495277E-2</v>
      </c>
      <c r="J724">
        <f t="shared" si="79"/>
        <v>0</v>
      </c>
      <c r="K724" s="5">
        <f t="shared" si="80"/>
        <v>1.6545027036507235E-2</v>
      </c>
      <c r="L724">
        <f t="shared" si="81"/>
        <v>0</v>
      </c>
      <c r="M724" s="9">
        <f t="shared" si="82"/>
        <v>2.5598995175695836E-2</v>
      </c>
      <c r="N724">
        <f t="shared" si="83"/>
        <v>0</v>
      </c>
      <c r="O724" s="5">
        <f t="shared" si="84"/>
        <v>2.3239490925109865E-2</v>
      </c>
      <c r="P724">
        <f t="shared" si="85"/>
        <v>0</v>
      </c>
    </row>
    <row r="725" spans="1:16" x14ac:dyDescent="0.25">
      <c r="A725" s="2">
        <f>'Historical Prices'!A723</f>
        <v>46176</v>
      </c>
      <c r="B725" s="3">
        <f>'Historical Prices'!C723/'Historical Prices'!C722-1</f>
        <v>7.2168303708208814E-3</v>
      </c>
      <c r="C725" s="3">
        <f>'Historical Prices'!B723/'Historical Prices'!B722-1</f>
        <v>3.2770852152499419E-3</v>
      </c>
      <c r="D725" s="3">
        <f>'Historical Prices'!D723/'Historical Prices'!D722-1</f>
        <v>1.2555017646491917E-2</v>
      </c>
      <c r="E725" s="3">
        <f>'Historical Prices'!E723/'Historical Prices'!E722-1</f>
        <v>-3.7928963126298343E-2</v>
      </c>
      <c r="F725" s="3">
        <f>'Historical Prices'!F723/'Historical Prices'!F722-1</f>
        <v>4.2690906122793137E-3</v>
      </c>
      <c r="G725" s="9">
        <f t="shared" si="86"/>
        <v>-1.1766232890647421E-3</v>
      </c>
      <c r="H725" s="6">
        <f t="shared" si="87"/>
        <v>-1176.623289064742</v>
      </c>
      <c r="I725" s="9">
        <f t="shared" si="78"/>
        <v>1.7439760991495277E-2</v>
      </c>
      <c r="J725">
        <f t="shared" si="79"/>
        <v>0</v>
      </c>
      <c r="K725" s="5">
        <f t="shared" si="80"/>
        <v>1.6519624918843467E-2</v>
      </c>
      <c r="L725">
        <f t="shared" si="81"/>
        <v>0</v>
      </c>
      <c r="M725" s="9">
        <f t="shared" si="82"/>
        <v>2.5598995175695836E-2</v>
      </c>
      <c r="N725">
        <f t="shared" si="83"/>
        <v>0</v>
      </c>
      <c r="O725" s="5">
        <f t="shared" si="84"/>
        <v>2.3222247831559465E-2</v>
      </c>
      <c r="P725">
        <f t="shared" si="85"/>
        <v>0</v>
      </c>
    </row>
    <row r="726" spans="1:16" x14ac:dyDescent="0.25">
      <c r="A726" s="2">
        <f>'Historical Prices'!A724</f>
        <v>46177</v>
      </c>
      <c r="B726" s="3">
        <f>'Historical Prices'!C724/'Historical Prices'!C723-1</f>
        <v>7.2973357232974934E-4</v>
      </c>
      <c r="C726" s="3">
        <f>'Historical Prices'!B724/'Historical Prices'!B723-1</f>
        <v>-1.5136246658531416E-3</v>
      </c>
      <c r="D726" s="3">
        <f>'Historical Prices'!D724/'Historical Prices'!D723-1</f>
        <v>7.8099749192352963E-3</v>
      </c>
      <c r="E726" s="3">
        <f>'Historical Prices'!E724/'Historical Prices'!E723-1</f>
        <v>-1.7421814617563092E-2</v>
      </c>
      <c r="F726" s="3">
        <f>'Historical Prices'!F724/'Historical Prices'!F723-1</f>
        <v>1.6605092282921952E-3</v>
      </c>
      <c r="G726" s="9">
        <f t="shared" si="86"/>
        <v>-1.2328076166077276E-3</v>
      </c>
      <c r="H726" s="6">
        <f t="shared" si="87"/>
        <v>-1232.8076166077276</v>
      </c>
      <c r="I726" s="9">
        <f t="shared" si="78"/>
        <v>1.7439760991495277E-2</v>
      </c>
      <c r="J726">
        <f t="shared" si="79"/>
        <v>0</v>
      </c>
      <c r="K726" s="5">
        <f t="shared" si="80"/>
        <v>1.6530287909314961E-2</v>
      </c>
      <c r="L726">
        <f t="shared" si="81"/>
        <v>0</v>
      </c>
      <c r="M726" s="9">
        <f t="shared" si="82"/>
        <v>2.5598995175695836E-2</v>
      </c>
      <c r="N726">
        <f t="shared" si="83"/>
        <v>0</v>
      </c>
      <c r="O726" s="5">
        <f t="shared" si="84"/>
        <v>2.3232346274448212E-2</v>
      </c>
      <c r="P726">
        <f t="shared" si="85"/>
        <v>0</v>
      </c>
    </row>
    <row r="727" spans="1:16" x14ac:dyDescent="0.25">
      <c r="A727" s="2">
        <f>'Historical Prices'!A725</f>
        <v>46178</v>
      </c>
      <c r="B727" s="3">
        <f>'Historical Prices'!C725/'Historical Prices'!C724-1</f>
        <v>-9.4802769682166277E-3</v>
      </c>
      <c r="C727" s="3">
        <f>'Historical Prices'!B725/'Historical Prices'!B724-1</f>
        <v>1.5159971779261427E-2</v>
      </c>
      <c r="D727" s="3">
        <f>'Historical Prices'!D725/'Historical Prices'!D724-1</f>
        <v>8.3087444261287224E-3</v>
      </c>
      <c r="E727" s="3">
        <f>'Historical Prices'!E725/'Historical Prices'!E724-1</f>
        <v>-3.1632146067221978E-3</v>
      </c>
      <c r="F727" s="3">
        <f>'Historical Prices'!F725/'Historical Prices'!F724-1</f>
        <v>8.0899368282465467E-3</v>
      </c>
      <c r="G727" s="9">
        <f t="shared" si="86"/>
        <v>3.6702738481306637E-3</v>
      </c>
      <c r="H727" s="6">
        <f t="shared" si="87"/>
        <v>3670.2738481306637</v>
      </c>
      <c r="I727" s="9">
        <f t="shared" si="78"/>
        <v>1.7439760991495277E-2</v>
      </c>
      <c r="J727">
        <f t="shared" si="79"/>
        <v>0</v>
      </c>
      <c r="K727" s="5">
        <f t="shared" si="80"/>
        <v>1.6509939322521587E-2</v>
      </c>
      <c r="L727">
        <f t="shared" si="81"/>
        <v>0</v>
      </c>
      <c r="M727" s="9">
        <f t="shared" si="82"/>
        <v>2.5598995175695836E-2</v>
      </c>
      <c r="N727">
        <f t="shared" si="83"/>
        <v>0</v>
      </c>
      <c r="O727" s="5">
        <f t="shared" si="84"/>
        <v>2.3209403341781454E-2</v>
      </c>
      <c r="P727">
        <f t="shared" si="85"/>
        <v>0</v>
      </c>
    </row>
    <row r="728" spans="1:16" x14ac:dyDescent="0.25">
      <c r="A728" s="2">
        <f>'Historical Prices'!A726</f>
        <v>46181</v>
      </c>
      <c r="B728" s="3">
        <f>'Historical Prices'!C726/'Historical Prices'!C725-1</f>
        <v>-1.1244112901075853E-2</v>
      </c>
      <c r="C728" s="3">
        <f>'Historical Prices'!B726/'Historical Prices'!B725-1</f>
        <v>-3.301215115246614E-3</v>
      </c>
      <c r="D728" s="3">
        <f>'Historical Prices'!D726/'Historical Prices'!D725-1</f>
        <v>-9.428746880817962E-3</v>
      </c>
      <c r="E728" s="3">
        <f>'Historical Prices'!E726/'Historical Prices'!E725-1</f>
        <v>-8.26732718636769E-3</v>
      </c>
      <c r="F728" s="3">
        <f>'Historical Prices'!F726/'Historical Prices'!F725-1</f>
        <v>-2.4502568590615281E-2</v>
      </c>
      <c r="G728" s="9">
        <f t="shared" si="86"/>
        <v>-1.1377210753109861E-2</v>
      </c>
      <c r="H728" s="6">
        <f t="shared" si="87"/>
        <v>-11377.210753109861</v>
      </c>
      <c r="I728" s="9">
        <f t="shared" si="78"/>
        <v>1.7439760991495277E-2</v>
      </c>
      <c r="J728">
        <f t="shared" si="79"/>
        <v>0</v>
      </c>
      <c r="K728" s="5">
        <f t="shared" si="80"/>
        <v>1.6502411694434335E-2</v>
      </c>
      <c r="L728">
        <f t="shared" si="81"/>
        <v>0</v>
      </c>
      <c r="M728" s="9">
        <f t="shared" si="82"/>
        <v>2.5598995175695836E-2</v>
      </c>
      <c r="N728">
        <f t="shared" si="83"/>
        <v>0</v>
      </c>
      <c r="O728" s="5">
        <f t="shared" si="84"/>
        <v>2.3204010318443723E-2</v>
      </c>
      <c r="P728">
        <f t="shared" si="85"/>
        <v>0</v>
      </c>
    </row>
    <row r="729" spans="1:16" x14ac:dyDescent="0.25">
      <c r="A729" s="2">
        <f>'Historical Prices'!A727</f>
        <v>46182</v>
      </c>
      <c r="B729" s="3">
        <f>'Historical Prices'!C727/'Historical Prices'!C726-1</f>
        <v>-4.0621116697681092E-4</v>
      </c>
      <c r="C729" s="3">
        <f>'Historical Prices'!B727/'Historical Prices'!B726-1</f>
        <v>1.9162605516292786E-2</v>
      </c>
      <c r="D729" s="3">
        <f>'Historical Prices'!D727/'Historical Prices'!D726-1</f>
        <v>1.983681005685467E-2</v>
      </c>
      <c r="E729" s="3">
        <f>'Historical Prices'!E727/'Historical Prices'!E726-1</f>
        <v>-6.146752535401534E-3</v>
      </c>
      <c r="F729" s="3">
        <f>'Historical Prices'!F727/'Historical Prices'!F726-1</f>
        <v>8.1254436479920589E-3</v>
      </c>
      <c r="G729" s="9">
        <f t="shared" si="86"/>
        <v>8.4043918098712245E-3</v>
      </c>
      <c r="H729" s="6">
        <f t="shared" si="87"/>
        <v>8404.3918098712238</v>
      </c>
      <c r="I729" s="9">
        <f t="shared" si="78"/>
        <v>1.7439760991495277E-2</v>
      </c>
      <c r="J729">
        <f t="shared" si="79"/>
        <v>0</v>
      </c>
      <c r="K729" s="5">
        <f t="shared" si="80"/>
        <v>1.6595814014916062E-2</v>
      </c>
      <c r="L729">
        <f t="shared" si="81"/>
        <v>0</v>
      </c>
      <c r="M729" s="9">
        <f t="shared" si="82"/>
        <v>2.5598995175695836E-2</v>
      </c>
      <c r="N729">
        <f t="shared" si="83"/>
        <v>0</v>
      </c>
      <c r="O729" s="5">
        <f t="shared" si="84"/>
        <v>2.3313214036711757E-2</v>
      </c>
      <c r="P729">
        <f t="shared" si="85"/>
        <v>0</v>
      </c>
    </row>
    <row r="730" spans="1:16" x14ac:dyDescent="0.25">
      <c r="A730" s="2">
        <f>'Historical Prices'!A728</f>
        <v>46183</v>
      </c>
      <c r="B730" s="3">
        <f>'Historical Prices'!C728/'Historical Prices'!C727-1</f>
        <v>1.1512144817837466E-2</v>
      </c>
      <c r="C730" s="3">
        <f>'Historical Prices'!B728/'Historical Prices'!B727-1</f>
        <v>1.7099998846791697E-2</v>
      </c>
      <c r="D730" s="3">
        <f>'Historical Prices'!D728/'Historical Prices'!D727-1</f>
        <v>1.4353007261128869E-2</v>
      </c>
      <c r="E730" s="3">
        <f>'Historical Prices'!E728/'Historical Prices'!E727-1</f>
        <v>-8.6557600427209502E-3</v>
      </c>
      <c r="F730" s="3">
        <f>'Historical Prices'!F728/'Historical Prices'!F727-1</f>
        <v>-1.2574823620460807E-2</v>
      </c>
      <c r="G730" s="9">
        <f t="shared" si="86"/>
        <v>4.8258996460771733E-3</v>
      </c>
      <c r="H730" s="6">
        <f t="shared" si="87"/>
        <v>4825.8996460771732</v>
      </c>
      <c r="I730" s="9">
        <f t="shared" si="78"/>
        <v>1.7439760991495277E-2</v>
      </c>
      <c r="J730">
        <f t="shared" si="79"/>
        <v>0</v>
      </c>
      <c r="K730" s="5">
        <f t="shared" si="80"/>
        <v>1.6569812991563553E-2</v>
      </c>
      <c r="L730">
        <f t="shared" si="81"/>
        <v>0</v>
      </c>
      <c r="M730" s="9">
        <f t="shared" si="82"/>
        <v>2.5598995175695836E-2</v>
      </c>
      <c r="N730">
        <f t="shared" si="83"/>
        <v>0</v>
      </c>
      <c r="O730" s="5">
        <f t="shared" si="84"/>
        <v>2.326582042843349E-2</v>
      </c>
      <c r="P730">
        <f t="shared" si="85"/>
        <v>0</v>
      </c>
    </row>
    <row r="731" spans="1:16" x14ac:dyDescent="0.25">
      <c r="A731" s="2">
        <f>'Historical Prices'!A729</f>
        <v>46184</v>
      </c>
      <c r="B731" s="3">
        <f>'Historical Prices'!C729/'Historical Prices'!C728-1</f>
        <v>-3.0126357239580459E-3</v>
      </c>
      <c r="C731" s="3">
        <f>'Historical Prices'!B729/'Historical Prices'!B728-1</f>
        <v>2.1300944992446169E-3</v>
      </c>
      <c r="D731" s="3">
        <f>'Historical Prices'!D729/'Historical Prices'!D728-1</f>
        <v>1.8325185401072641E-2</v>
      </c>
      <c r="E731" s="3">
        <f>'Historical Prices'!E729/'Historical Prices'!E728-1</f>
        <v>-2.6805266684131746E-2</v>
      </c>
      <c r="F731" s="3">
        <f>'Historical Prices'!F729/'Historical Prices'!F728-1</f>
        <v>1.6392790598007467E-2</v>
      </c>
      <c r="G731" s="9">
        <f t="shared" si="86"/>
        <v>2.1632836870739487E-3</v>
      </c>
      <c r="H731" s="6">
        <f t="shared" si="87"/>
        <v>2163.2836870739488</v>
      </c>
      <c r="I731" s="9">
        <f t="shared" si="78"/>
        <v>1.7439760991495277E-2</v>
      </c>
      <c r="J731">
        <f t="shared" si="79"/>
        <v>0</v>
      </c>
      <c r="K731" s="5">
        <f t="shared" si="80"/>
        <v>1.6559318805416726E-2</v>
      </c>
      <c r="L731">
        <f t="shared" si="81"/>
        <v>0</v>
      </c>
      <c r="M731" s="9">
        <f t="shared" si="82"/>
        <v>2.5598995175695836E-2</v>
      </c>
      <c r="N731">
        <f t="shared" si="83"/>
        <v>0</v>
      </c>
      <c r="O731" s="5">
        <f t="shared" si="84"/>
        <v>2.325911276024312E-2</v>
      </c>
      <c r="P731">
        <f t="shared" si="85"/>
        <v>0</v>
      </c>
    </row>
    <row r="732" spans="1:16" x14ac:dyDescent="0.25">
      <c r="A732" s="2">
        <f>'Historical Prices'!A730</f>
        <v>46185</v>
      </c>
      <c r="B732" s="3">
        <f>'Historical Prices'!C730/'Historical Prices'!C729-1</f>
        <v>3.7402604241833837E-2</v>
      </c>
      <c r="C732" s="3">
        <f>'Historical Prices'!B730/'Historical Prices'!B729-1</f>
        <v>2.9606030081036794E-2</v>
      </c>
      <c r="D732" s="3">
        <f>'Historical Prices'!D730/'Historical Prices'!D729-1</f>
        <v>1.8071406826400516E-2</v>
      </c>
      <c r="E732" s="3">
        <f>'Historical Prices'!E730/'Historical Prices'!E729-1</f>
        <v>1.6149729656846912E-3</v>
      </c>
      <c r="F732" s="3">
        <f>'Historical Prices'!F730/'Historical Prices'!F729-1</f>
        <v>1.3995787222337297E-2</v>
      </c>
      <c r="G732" s="9">
        <f t="shared" si="86"/>
        <v>2.0447960194412258E-2</v>
      </c>
      <c r="H732" s="6">
        <f t="shared" si="87"/>
        <v>20447.960194412259</v>
      </c>
      <c r="I732" s="9">
        <f t="shared" si="78"/>
        <v>1.7439760991495277E-2</v>
      </c>
      <c r="J732">
        <f t="shared" si="79"/>
        <v>0</v>
      </c>
      <c r="K732" s="5">
        <f t="shared" si="80"/>
        <v>1.6553060669729936E-2</v>
      </c>
      <c r="L732">
        <f t="shared" si="81"/>
        <v>0</v>
      </c>
      <c r="M732" s="9">
        <f t="shared" si="82"/>
        <v>2.5598995175695836E-2</v>
      </c>
      <c r="N732">
        <f t="shared" si="83"/>
        <v>0</v>
      </c>
      <c r="O732" s="5">
        <f t="shared" si="84"/>
        <v>2.325372926278909E-2</v>
      </c>
      <c r="P732">
        <f t="shared" si="85"/>
        <v>0</v>
      </c>
    </row>
    <row r="733" spans="1:16" x14ac:dyDescent="0.25">
      <c r="A733" s="2">
        <f>'Historical Prices'!A731</f>
        <v>46188</v>
      </c>
      <c r="B733" s="3">
        <f>'Historical Prices'!C731/'Historical Prices'!C730-1</f>
        <v>6.343421388081083E-3</v>
      </c>
      <c r="C733" s="3">
        <f>'Historical Prices'!B731/'Historical Prices'!B730-1</f>
        <v>8.8475775356486874E-3</v>
      </c>
      <c r="D733" s="3">
        <f>'Historical Prices'!D731/'Historical Prices'!D730-1</f>
        <v>-9.8449239254205789E-3</v>
      </c>
      <c r="E733" s="3">
        <f>'Historical Prices'!E731/'Historical Prices'!E730-1</f>
        <v>1.6571121099455022E-2</v>
      </c>
      <c r="F733" s="3">
        <f>'Historical Prices'!F731/'Historical Prices'!F730-1</f>
        <v>3.0037237954012364E-2</v>
      </c>
      <c r="G733" s="9">
        <f t="shared" si="86"/>
        <v>9.5691754173549207E-3</v>
      </c>
      <c r="H733" s="6">
        <f t="shared" si="87"/>
        <v>9569.1754173549198</v>
      </c>
      <c r="I733" s="9">
        <f t="shared" si="78"/>
        <v>1.7439760991495277E-2</v>
      </c>
      <c r="J733">
        <f t="shared" si="79"/>
        <v>0</v>
      </c>
      <c r="K733" s="5">
        <f t="shared" si="80"/>
        <v>1.6625973260077701E-2</v>
      </c>
      <c r="L733">
        <f t="shared" si="81"/>
        <v>0</v>
      </c>
      <c r="M733" s="9">
        <f t="shared" si="82"/>
        <v>2.5598995175695836E-2</v>
      </c>
      <c r="N733">
        <f t="shared" si="83"/>
        <v>0</v>
      </c>
      <c r="O733" s="5">
        <f t="shared" si="84"/>
        <v>2.3383488755927034E-2</v>
      </c>
      <c r="P733">
        <f t="shared" si="85"/>
        <v>0</v>
      </c>
    </row>
    <row r="734" spans="1:16" x14ac:dyDescent="0.25">
      <c r="A734" s="2">
        <f>'Historical Prices'!A732</f>
        <v>46189</v>
      </c>
      <c r="B734" s="3">
        <f>'Historical Prices'!C732/'Historical Prices'!C731-1</f>
        <v>9.7125992337223632E-3</v>
      </c>
      <c r="C734" s="3">
        <f>'Historical Prices'!B732/'Historical Prices'!B731-1</f>
        <v>-1.9002763811108991E-3</v>
      </c>
      <c r="D734" s="3">
        <f>'Historical Prices'!D732/'Historical Prices'!D731-1</f>
        <v>5.0467427331373216E-3</v>
      </c>
      <c r="E734" s="3">
        <f>'Historical Prices'!E732/'Historical Prices'!E731-1</f>
        <v>7.6658304561827428E-3</v>
      </c>
      <c r="F734" s="3">
        <f>'Historical Prices'!F732/'Historical Prices'!F731-1</f>
        <v>1.1485535836217586E-3</v>
      </c>
      <c r="G734" s="9">
        <f t="shared" si="86"/>
        <v>4.4794956762025844E-3</v>
      </c>
      <c r="H734" s="6">
        <f t="shared" si="87"/>
        <v>4479.495676202584</v>
      </c>
      <c r="I734" s="9">
        <f t="shared" si="78"/>
        <v>1.7439760991495277E-2</v>
      </c>
      <c r="J734">
        <f t="shared" si="79"/>
        <v>0</v>
      </c>
      <c r="K734" s="5">
        <f t="shared" si="80"/>
        <v>1.6539426760462578E-2</v>
      </c>
      <c r="L734">
        <f t="shared" si="81"/>
        <v>0</v>
      </c>
      <c r="M734" s="9">
        <f t="shared" si="82"/>
        <v>2.5598995175695836E-2</v>
      </c>
      <c r="N734">
        <f t="shared" si="83"/>
        <v>0</v>
      </c>
      <c r="O734" s="5">
        <f t="shared" si="84"/>
        <v>2.3294909792888729E-2</v>
      </c>
      <c r="P734">
        <f t="shared" si="85"/>
        <v>0</v>
      </c>
    </row>
    <row r="735" spans="1:16" x14ac:dyDescent="0.25">
      <c r="A735" s="2">
        <f>'Historical Prices'!A733</f>
        <v>46190</v>
      </c>
      <c r="B735" s="3">
        <f>'Historical Prices'!C733/'Historical Prices'!C732-1</f>
        <v>2.8027988306296159E-3</v>
      </c>
      <c r="C735" s="3">
        <f>'Historical Prices'!B733/'Historical Prices'!B732-1</f>
        <v>-1.0836829710054507E-2</v>
      </c>
      <c r="D735" s="3">
        <f>'Historical Prices'!D733/'Historical Prices'!D732-1</f>
        <v>1.8736612257395091E-3</v>
      </c>
      <c r="E735" s="3">
        <f>'Historical Prices'!E733/'Historical Prices'!E732-1</f>
        <v>1.2329464748993768E-2</v>
      </c>
      <c r="F735" s="3">
        <f>'Historical Prices'!F733/'Historical Prices'!F732-1</f>
        <v>-1.5934880524168804E-3</v>
      </c>
      <c r="G735" s="9">
        <f t="shared" si="86"/>
        <v>9.8483300411307973E-4</v>
      </c>
      <c r="H735" s="6">
        <f t="shared" si="87"/>
        <v>984.83300411307971</v>
      </c>
      <c r="I735" s="9">
        <f t="shared" si="78"/>
        <v>1.7439760991495277E-2</v>
      </c>
      <c r="J735">
        <f t="shared" si="79"/>
        <v>0</v>
      </c>
      <c r="K735" s="5">
        <f t="shared" si="80"/>
        <v>1.6486088528228342E-2</v>
      </c>
      <c r="L735">
        <f t="shared" si="81"/>
        <v>0</v>
      </c>
      <c r="M735" s="9">
        <f t="shared" si="82"/>
        <v>2.5598995175695836E-2</v>
      </c>
      <c r="N735">
        <f t="shared" si="83"/>
        <v>0</v>
      </c>
      <c r="O735" s="5">
        <f t="shared" si="84"/>
        <v>2.323837948911776E-2</v>
      </c>
      <c r="P735">
        <f t="shared" si="85"/>
        <v>0</v>
      </c>
    </row>
    <row r="736" spans="1:16" x14ac:dyDescent="0.25">
      <c r="A736" s="2">
        <f>'Historical Prices'!A734</f>
        <v>46191</v>
      </c>
      <c r="B736" s="3">
        <f>'Historical Prices'!C734/'Historical Prices'!C733-1</f>
        <v>1.5118840210480489E-2</v>
      </c>
      <c r="C736" s="3">
        <f>'Historical Prices'!B734/'Historical Prices'!B733-1</f>
        <v>6.8102453914773431E-3</v>
      </c>
      <c r="D736" s="3">
        <f>'Historical Prices'!D734/'Historical Prices'!D733-1</f>
        <v>4.1142721383040648E-3</v>
      </c>
      <c r="E736" s="3">
        <f>'Historical Prices'!E734/'Historical Prices'!E733-1</f>
        <v>-2.6086164330667239E-2</v>
      </c>
      <c r="F736" s="3">
        <f>'Historical Prices'!F734/'Historical Prices'!F733-1</f>
        <v>1.1491456925070143E-3</v>
      </c>
      <c r="G736" s="9">
        <f t="shared" si="86"/>
        <v>7.9219428210178927E-4</v>
      </c>
      <c r="H736" s="6">
        <f t="shared" si="87"/>
        <v>792.19428210178933</v>
      </c>
      <c r="I736" s="9">
        <f t="shared" si="78"/>
        <v>1.7439760991495277E-2</v>
      </c>
      <c r="J736">
        <f t="shared" si="79"/>
        <v>0</v>
      </c>
      <c r="K736" s="5">
        <f t="shared" si="80"/>
        <v>1.6490777076247777E-2</v>
      </c>
      <c r="L736">
        <f t="shared" si="81"/>
        <v>0</v>
      </c>
      <c r="M736" s="9">
        <f t="shared" si="82"/>
        <v>2.5598995175695836E-2</v>
      </c>
      <c r="N736">
        <f t="shared" si="83"/>
        <v>0</v>
      </c>
      <c r="O736" s="5">
        <f t="shared" si="84"/>
        <v>2.3232063922297805E-2</v>
      </c>
      <c r="P736">
        <f t="shared" si="85"/>
        <v>0</v>
      </c>
    </row>
    <row r="737" spans="1:16" x14ac:dyDescent="0.25">
      <c r="A737" s="2">
        <f>'Historical Prices'!A735</f>
        <v>46192</v>
      </c>
      <c r="B737" s="3">
        <f>'Historical Prices'!C735/'Historical Prices'!C734-1</f>
        <v>-7.8880562430423407E-3</v>
      </c>
      <c r="C737" s="3">
        <f>'Historical Prices'!B735/'Historical Prices'!B734-1</f>
        <v>-1.6174821727111821E-3</v>
      </c>
      <c r="D737" s="3">
        <f>'Historical Prices'!D735/'Historical Prices'!D734-1</f>
        <v>3.1288878389361674E-3</v>
      </c>
      <c r="E737" s="3">
        <f>'Historical Prices'!E735/'Historical Prices'!E734-1</f>
        <v>-6.7494435109479389E-2</v>
      </c>
      <c r="F737" s="3">
        <f>'Historical Prices'!F735/'Historical Prices'!F734-1</f>
        <v>-1.9671545224984377E-2</v>
      </c>
      <c r="G737" s="9">
        <f t="shared" si="86"/>
        <v>-1.747444319207311E-2</v>
      </c>
      <c r="H737" s="6">
        <f t="shared" si="87"/>
        <v>-17474.443192073111</v>
      </c>
      <c r="I737" s="9">
        <f t="shared" si="78"/>
        <v>1.7439760991495277E-2</v>
      </c>
      <c r="J737">
        <f t="shared" si="79"/>
        <v>1</v>
      </c>
      <c r="K737" s="5">
        <f t="shared" si="80"/>
        <v>1.6485971787336531E-2</v>
      </c>
      <c r="L737">
        <f t="shared" si="81"/>
        <v>1</v>
      </c>
      <c r="M737" s="9">
        <f t="shared" si="82"/>
        <v>2.5598995175695836E-2</v>
      </c>
      <c r="N737">
        <f t="shared" si="83"/>
        <v>0</v>
      </c>
      <c r="O737" s="5">
        <f t="shared" si="84"/>
        <v>2.3227389522514637E-2</v>
      </c>
      <c r="P737">
        <f t="shared" si="85"/>
        <v>0</v>
      </c>
    </row>
    <row r="738" spans="1:16" x14ac:dyDescent="0.25">
      <c r="A738" s="2">
        <f>'Historical Prices'!A736</f>
        <v>46195</v>
      </c>
      <c r="B738" s="3">
        <f>'Historical Prices'!C736/'Historical Prices'!C735-1</f>
        <v>8.4637557378957062E-3</v>
      </c>
      <c r="C738" s="3">
        <f>'Historical Prices'!B736/'Historical Prices'!B735-1</f>
        <v>5.1541360164741867E-4</v>
      </c>
      <c r="D738" s="3">
        <f>'Historical Prices'!D736/'Historical Prices'!D735-1</f>
        <v>4.3817546985307487E-3</v>
      </c>
      <c r="E738" s="3">
        <f>'Historical Prices'!E736/'Historical Prices'!E735-1</f>
        <v>1.3315578918501547E-2</v>
      </c>
      <c r="F738" s="3">
        <f>'Historical Prices'!F736/'Historical Prices'!F735-1</f>
        <v>-3.7076274586199665E-3</v>
      </c>
      <c r="G738" s="9">
        <f t="shared" si="86"/>
        <v>4.6134982342525034E-3</v>
      </c>
      <c r="H738" s="6">
        <f t="shared" si="87"/>
        <v>4613.4982342525036</v>
      </c>
      <c r="I738" s="9">
        <f t="shared" si="78"/>
        <v>1.7469637739347448E-2</v>
      </c>
      <c r="J738">
        <f t="shared" si="79"/>
        <v>0</v>
      </c>
      <c r="K738" s="5">
        <f t="shared" si="80"/>
        <v>1.6658258097438799E-2</v>
      </c>
      <c r="L738">
        <f t="shared" si="81"/>
        <v>0</v>
      </c>
      <c r="M738" s="9">
        <f t="shared" si="82"/>
        <v>2.5598995175695836E-2</v>
      </c>
      <c r="N738">
        <f t="shared" si="83"/>
        <v>0</v>
      </c>
      <c r="O738" s="5">
        <f t="shared" si="84"/>
        <v>2.3440350377878262E-2</v>
      </c>
      <c r="P738">
        <f t="shared" si="85"/>
        <v>0</v>
      </c>
    </row>
    <row r="739" spans="1:16" x14ac:dyDescent="0.25">
      <c r="A739" s="2">
        <f>'Historical Prices'!A737</f>
        <v>46196</v>
      </c>
      <c r="B739" s="3">
        <f>'Historical Prices'!C737/'Historical Prices'!C736-1</f>
        <v>-1.4941505131252697E-2</v>
      </c>
      <c r="C739" s="3">
        <f>'Historical Prices'!B737/'Historical Prices'!B736-1</f>
        <v>3.6066660468223599E-3</v>
      </c>
      <c r="D739" s="3">
        <f>'Historical Prices'!D737/'Historical Prices'!D736-1</f>
        <v>-1.0425859035861018E-2</v>
      </c>
      <c r="E739" s="3">
        <f>'Historical Prices'!E737/'Historical Prices'!E736-1</f>
        <v>-3.3883963542980955E-2</v>
      </c>
      <c r="F739" s="3">
        <f>'Historical Prices'!F737/'Historical Prices'!F736-1</f>
        <v>-8.5198971820412694E-3</v>
      </c>
      <c r="G739" s="9">
        <f t="shared" si="86"/>
        <v>-1.2744995118479735E-2</v>
      </c>
      <c r="H739" s="6">
        <f t="shared" si="87"/>
        <v>-12744.995118479736</v>
      </c>
      <c r="I739" s="9">
        <f t="shared" si="78"/>
        <v>1.7469637739347448E-2</v>
      </c>
      <c r="J739">
        <f t="shared" si="79"/>
        <v>0</v>
      </c>
      <c r="K739" s="5">
        <f t="shared" si="80"/>
        <v>1.6651786941429506E-2</v>
      </c>
      <c r="L739">
        <f t="shared" si="81"/>
        <v>0</v>
      </c>
      <c r="M739" s="9">
        <f t="shared" si="82"/>
        <v>2.5598995175695836E-2</v>
      </c>
      <c r="N739">
        <f t="shared" si="83"/>
        <v>0</v>
      </c>
      <c r="O739" s="5">
        <f t="shared" si="84"/>
        <v>2.3436877733896438E-2</v>
      </c>
      <c r="P739">
        <f t="shared" si="85"/>
        <v>0</v>
      </c>
    </row>
    <row r="740" spans="1:16" x14ac:dyDescent="0.25">
      <c r="A740" s="2">
        <f>'Historical Prices'!A738</f>
        <v>46197</v>
      </c>
      <c r="B740" s="3">
        <f>'Historical Prices'!C738/'Historical Prices'!C737-1</f>
        <v>2.3946281815455661E-2</v>
      </c>
      <c r="C740" s="3">
        <f>'Historical Prices'!B738/'Historical Prices'!B737-1</f>
        <v>1.5401591802446823E-2</v>
      </c>
      <c r="D740" s="3">
        <f>'Historical Prices'!D738/'Historical Prices'!D737-1</f>
        <v>2.6376739608340971E-2</v>
      </c>
      <c r="E740" s="3">
        <f>'Historical Prices'!E738/'Historical Prices'!E737-1</f>
        <v>2.6522807211458277E-2</v>
      </c>
      <c r="F740" s="3">
        <f>'Historical Prices'!F738/'Historical Prices'!F737-1</f>
        <v>8.9552915276231992E-3</v>
      </c>
      <c r="G740" s="9">
        <f t="shared" si="86"/>
        <v>2.0508199879715076E-2</v>
      </c>
      <c r="H740" s="6">
        <f t="shared" si="87"/>
        <v>20508.199879715077</v>
      </c>
      <c r="I740" s="9">
        <f t="shared" si="78"/>
        <v>1.7469637739347448E-2</v>
      </c>
      <c r="J740">
        <f t="shared" si="79"/>
        <v>0</v>
      </c>
      <c r="K740" s="5">
        <f t="shared" si="80"/>
        <v>1.6750101913348449E-2</v>
      </c>
      <c r="L740">
        <f t="shared" si="81"/>
        <v>0</v>
      </c>
      <c r="M740" s="9">
        <f t="shared" si="82"/>
        <v>2.5598995175695836E-2</v>
      </c>
      <c r="N740">
        <f t="shared" si="83"/>
        <v>0</v>
      </c>
      <c r="O740" s="5">
        <f t="shared" si="84"/>
        <v>2.353436186515977E-2</v>
      </c>
      <c r="P740">
        <f t="shared" si="85"/>
        <v>0</v>
      </c>
    </row>
    <row r="741" spans="1:16" x14ac:dyDescent="0.25">
      <c r="A741" s="2">
        <f>'Historical Prices'!A739</f>
        <v>46198</v>
      </c>
      <c r="B741" s="3">
        <f>'Historical Prices'!C739/'Historical Prices'!C738-1</f>
        <v>3.9081890295387112E-3</v>
      </c>
      <c r="C741" s="3">
        <f>'Historical Prices'!B739/'Historical Prices'!B738-1</f>
        <v>-5.2727042347873176E-3</v>
      </c>
      <c r="D741" s="3">
        <f>'Historical Prices'!D739/'Historical Prices'!D738-1</f>
        <v>1.0119407158335036E-2</v>
      </c>
      <c r="E741" s="3">
        <f>'Historical Prices'!E739/'Historical Prices'!E738-1</f>
        <v>-1.4575075496781942E-2</v>
      </c>
      <c r="F741" s="3">
        <f>'Historical Prices'!F739/'Historical Prices'!F738-1</f>
        <v>3.8407566730761289E-2</v>
      </c>
      <c r="G741" s="9">
        <f t="shared" si="86"/>
        <v>6.8865282152581926E-3</v>
      </c>
      <c r="H741" s="6">
        <f t="shared" si="87"/>
        <v>6886.5282152581922</v>
      </c>
      <c r="I741" s="9">
        <f t="shared" si="78"/>
        <v>1.7469637739347448E-2</v>
      </c>
      <c r="J741">
        <f t="shared" si="79"/>
        <v>0</v>
      </c>
      <c r="K741" s="5">
        <f t="shared" si="80"/>
        <v>1.6726639544844598E-2</v>
      </c>
      <c r="L741">
        <f t="shared" si="81"/>
        <v>0</v>
      </c>
      <c r="M741" s="9">
        <f t="shared" si="82"/>
        <v>2.5598995175695836E-2</v>
      </c>
      <c r="N741">
        <f t="shared" si="83"/>
        <v>0</v>
      </c>
      <c r="O741" s="5">
        <f t="shared" si="84"/>
        <v>2.3553844650300783E-2</v>
      </c>
      <c r="P741">
        <f t="shared" si="85"/>
        <v>0</v>
      </c>
    </row>
    <row r="742" spans="1:16" x14ac:dyDescent="0.25">
      <c r="A742" s="2">
        <f>'Historical Prices'!A740</f>
        <v>46199</v>
      </c>
      <c r="B742" s="3">
        <f>'Historical Prices'!C740/'Historical Prices'!C739-1</f>
        <v>0</v>
      </c>
      <c r="C742" s="3">
        <f>'Historical Prices'!B740/'Historical Prices'!B739-1</f>
        <v>0</v>
      </c>
      <c r="D742" s="3">
        <f>'Historical Prices'!D740/'Historical Prices'!D739-1</f>
        <v>0</v>
      </c>
      <c r="E742" s="3">
        <f>'Historical Prices'!E740/'Historical Prices'!E739-1</f>
        <v>0</v>
      </c>
      <c r="F742" s="3">
        <f>'Historical Prices'!F740/'Historical Prices'!F739-1</f>
        <v>0</v>
      </c>
      <c r="G742" s="9">
        <f t="shared" si="86"/>
        <v>0</v>
      </c>
      <c r="H742" s="6">
        <f t="shared" si="87"/>
        <v>0</v>
      </c>
      <c r="I742" s="9">
        <f t="shared" si="78"/>
        <v>1.7469637739347448E-2</v>
      </c>
      <c r="J742">
        <f t="shared" si="79"/>
        <v>0</v>
      </c>
      <c r="K742" s="5">
        <f t="shared" si="80"/>
        <v>1.6725549217165077E-2</v>
      </c>
      <c r="L742">
        <f t="shared" si="81"/>
        <v>0</v>
      </c>
      <c r="M742" s="9">
        <f t="shared" si="82"/>
        <v>2.5598995175695836E-2</v>
      </c>
      <c r="N742">
        <f t="shared" si="83"/>
        <v>0</v>
      </c>
      <c r="O742" s="5">
        <f t="shared" si="84"/>
        <v>2.3557549229184464E-2</v>
      </c>
      <c r="P742">
        <f t="shared" si="85"/>
        <v>0</v>
      </c>
    </row>
    <row r="743" spans="1:16" x14ac:dyDescent="0.25">
      <c r="A743" s="2">
        <f>'Historical Prices'!A741</f>
        <v>46202</v>
      </c>
      <c r="B743" s="3">
        <f>'Historical Prices'!C741/'Historical Prices'!C740-1</f>
        <v>3.2651471316733627E-3</v>
      </c>
      <c r="C743" s="3">
        <f>'Historical Prices'!B741/'Historical Prices'!B740-1</f>
        <v>-1.4812573536404083E-2</v>
      </c>
      <c r="D743" s="3">
        <f>'Historical Prices'!D741/'Historical Prices'!D740-1</f>
        <v>7.2040887284741117E-5</v>
      </c>
      <c r="E743" s="3">
        <f>'Historical Prices'!E741/'Historical Prices'!E740-1</f>
        <v>-4.3219364301114727E-3</v>
      </c>
      <c r="F743" s="3">
        <f>'Historical Prices'!F741/'Historical Prices'!F740-1</f>
        <v>-2.8030905739231948E-2</v>
      </c>
      <c r="G743" s="9">
        <f t="shared" si="86"/>
        <v>-8.2304214151786466E-3</v>
      </c>
      <c r="H743" s="6">
        <f t="shared" si="87"/>
        <v>-8230.4214151786473</v>
      </c>
      <c r="I743" s="9">
        <f t="shared" si="78"/>
        <v>1.7469637739347448E-2</v>
      </c>
      <c r="J743">
        <f t="shared" si="79"/>
        <v>0</v>
      </c>
      <c r="K743" s="5">
        <f t="shared" si="80"/>
        <v>1.6733252424921952E-2</v>
      </c>
      <c r="L743">
        <f t="shared" si="81"/>
        <v>0</v>
      </c>
      <c r="M743" s="9">
        <f t="shared" si="82"/>
        <v>2.5598995175695836E-2</v>
      </c>
      <c r="N743">
        <f t="shared" si="83"/>
        <v>0</v>
      </c>
      <c r="O743" s="5">
        <f t="shared" si="84"/>
        <v>2.3553466045492234E-2</v>
      </c>
      <c r="P743">
        <f t="shared" si="85"/>
        <v>0</v>
      </c>
    </row>
    <row r="744" spans="1:16" x14ac:dyDescent="0.25">
      <c r="A744" s="2">
        <f>'Historical Prices'!A742</f>
        <v>46203</v>
      </c>
      <c r="B744" s="3">
        <f>'Historical Prices'!C742/'Historical Prices'!C741-1</f>
        <v>-1.1891503041673301E-3</v>
      </c>
      <c r="C744" s="3">
        <f>'Historical Prices'!B742/'Historical Prices'!B741-1</f>
        <v>-8.1810922247023132E-3</v>
      </c>
      <c r="D744" s="3">
        <f>'Historical Prices'!D742/'Historical Prices'!D741-1</f>
        <v>-8.9363299355609271E-3</v>
      </c>
      <c r="E744" s="3">
        <f>'Historical Prices'!E742/'Historical Prices'!E741-1</f>
        <v>-3.5014882287570215E-2</v>
      </c>
      <c r="F744" s="3">
        <f>'Historical Prices'!F742/'Historical Prices'!F741-1</f>
        <v>-7.8241128769043211E-3</v>
      </c>
      <c r="G744" s="9">
        <f t="shared" si="86"/>
        <v>-1.1755527488370337E-2</v>
      </c>
      <c r="H744" s="6">
        <f t="shared" si="87"/>
        <v>-11755.527488370337</v>
      </c>
      <c r="I744" s="9">
        <f t="shared" si="78"/>
        <v>1.7469637739347448E-2</v>
      </c>
      <c r="J744">
        <f t="shared" si="79"/>
        <v>0</v>
      </c>
      <c r="K744" s="5">
        <f t="shared" si="80"/>
        <v>1.6792468588955906E-2</v>
      </c>
      <c r="L744">
        <f t="shared" si="81"/>
        <v>0</v>
      </c>
      <c r="M744" s="9">
        <f t="shared" si="82"/>
        <v>2.5598995175695836E-2</v>
      </c>
      <c r="N744">
        <f t="shared" si="83"/>
        <v>0</v>
      </c>
      <c r="O744" s="5">
        <f t="shared" si="84"/>
        <v>2.3607400553403005E-2</v>
      </c>
      <c r="P744">
        <f t="shared" si="85"/>
        <v>0</v>
      </c>
    </row>
    <row r="745" spans="1:16" x14ac:dyDescent="0.25">
      <c r="B745" s="3"/>
      <c r="C745" s="3"/>
      <c r="D745" s="3"/>
      <c r="E745" s="3"/>
      <c r="F745" s="3"/>
      <c r="J745">
        <f>COUNTIF(J255:J744, 1)</f>
        <v>36</v>
      </c>
      <c r="L745">
        <f>COUNTIF(L255:L744, 1)</f>
        <v>29</v>
      </c>
      <c r="N745">
        <f>COUNTIF(N255:N744, 1)</f>
        <v>9</v>
      </c>
      <c r="P745">
        <f>COUNTIF(P255:P744, 1)</f>
        <v>9</v>
      </c>
    </row>
    <row r="746" spans="1:16" x14ac:dyDescent="0.25">
      <c r="B746" s="3"/>
      <c r="C746" s="3"/>
      <c r="D746" s="3"/>
      <c r="E746" s="3"/>
      <c r="F746" s="3"/>
    </row>
    <row r="747" spans="1:16" x14ac:dyDescent="0.25">
      <c r="B747" s="3"/>
      <c r="C747" s="3"/>
      <c r="D747" s="3"/>
      <c r="E747" s="3"/>
      <c r="F747" s="3"/>
    </row>
    <row r="748" spans="1:16" x14ac:dyDescent="0.25">
      <c r="B748" s="3"/>
      <c r="C748" s="3"/>
      <c r="D748" s="3"/>
      <c r="E748" s="3"/>
      <c r="F748" s="3"/>
    </row>
    <row r="749" spans="1:16" x14ac:dyDescent="0.25">
      <c r="B749" s="3"/>
      <c r="C749" s="3"/>
      <c r="D749" s="3"/>
      <c r="E749" s="3"/>
      <c r="F749" s="3"/>
    </row>
    <row r="750" spans="1:16" x14ac:dyDescent="0.25">
      <c r="B750" s="3"/>
      <c r="C750" s="3"/>
      <c r="D750" s="3"/>
      <c r="E750" s="3"/>
      <c r="F750" s="3"/>
    </row>
    <row r="751" spans="1:16" x14ac:dyDescent="0.25">
      <c r="B751" s="3"/>
      <c r="C751" s="3"/>
      <c r="D751" s="3"/>
      <c r="E751" s="3"/>
      <c r="F751" s="3"/>
    </row>
    <row r="752" spans="1:16" x14ac:dyDescent="0.25">
      <c r="B752" s="3"/>
      <c r="C752" s="3"/>
      <c r="D752" s="3"/>
      <c r="E752" s="3"/>
      <c r="F752" s="3"/>
    </row>
    <row r="753" spans="2:6" x14ac:dyDescent="0.25">
      <c r="B753" s="3"/>
      <c r="C753" s="3"/>
      <c r="D753" s="3"/>
      <c r="E753" s="3"/>
      <c r="F753" s="3"/>
    </row>
    <row r="754" spans="2:6" x14ac:dyDescent="0.25">
      <c r="B754" s="3"/>
      <c r="C754" s="3"/>
      <c r="D754" s="3"/>
      <c r="E754" s="3"/>
      <c r="F754" s="3"/>
    </row>
    <row r="755" spans="2:6" x14ac:dyDescent="0.25">
      <c r="B755" s="3"/>
      <c r="C755" s="3"/>
      <c r="D755" s="3"/>
      <c r="E755" s="3"/>
      <c r="F755" s="3"/>
    </row>
    <row r="756" spans="2:6" x14ac:dyDescent="0.25">
      <c r="B756" s="3"/>
      <c r="C756" s="3"/>
      <c r="D756" s="3"/>
      <c r="E756" s="3"/>
      <c r="F756" s="3"/>
    </row>
    <row r="757" spans="2:6" x14ac:dyDescent="0.25">
      <c r="B757" s="3"/>
      <c r="C757" s="3"/>
      <c r="D757" s="3"/>
      <c r="E757" s="3"/>
      <c r="F757" s="3"/>
    </row>
    <row r="758" spans="2:6" x14ac:dyDescent="0.25">
      <c r="B758" s="3"/>
      <c r="C758" s="3"/>
      <c r="D758" s="3"/>
      <c r="E758" s="3"/>
      <c r="F758" s="3"/>
    </row>
    <row r="759" spans="2:6" x14ac:dyDescent="0.25">
      <c r="B759" s="3"/>
      <c r="C759" s="3"/>
      <c r="D759" s="3"/>
      <c r="E759" s="3"/>
      <c r="F759" s="3"/>
    </row>
    <row r="760" spans="2:6" x14ac:dyDescent="0.25">
      <c r="B760" s="3"/>
      <c r="C760" s="3"/>
      <c r="D760" s="3"/>
      <c r="E760" s="3"/>
      <c r="F760" s="3"/>
    </row>
    <row r="761" spans="2:6" x14ac:dyDescent="0.25">
      <c r="B761" s="3"/>
      <c r="C761" s="3"/>
      <c r="D761" s="3"/>
      <c r="E761" s="3"/>
      <c r="F761" s="3"/>
    </row>
    <row r="762" spans="2:6" x14ac:dyDescent="0.25">
      <c r="B762" s="3"/>
      <c r="C762" s="3"/>
      <c r="D762" s="3"/>
      <c r="E762" s="3"/>
      <c r="F762" s="3"/>
    </row>
    <row r="763" spans="2:6" x14ac:dyDescent="0.25">
      <c r="B763" s="3"/>
      <c r="C763" s="3"/>
      <c r="D763" s="3"/>
      <c r="E763" s="3"/>
      <c r="F763" s="3"/>
    </row>
    <row r="764" spans="2:6" x14ac:dyDescent="0.25">
      <c r="B764" s="3"/>
      <c r="C764" s="3"/>
      <c r="D764" s="3"/>
      <c r="E764" s="3"/>
      <c r="F764" s="3"/>
    </row>
    <row r="765" spans="2:6" x14ac:dyDescent="0.25">
      <c r="B765" s="3"/>
      <c r="C765" s="3"/>
      <c r="D765" s="3"/>
      <c r="E765" s="3"/>
      <c r="F765" s="3"/>
    </row>
    <row r="766" spans="2:6" x14ac:dyDescent="0.25">
      <c r="B766" s="3"/>
      <c r="C766" s="3"/>
      <c r="D766" s="3"/>
      <c r="E766" s="3"/>
      <c r="F766" s="3"/>
    </row>
    <row r="767" spans="2:6" x14ac:dyDescent="0.25">
      <c r="B767" s="3"/>
      <c r="C767" s="3"/>
      <c r="D767" s="3"/>
      <c r="E767" s="3"/>
      <c r="F767" s="3"/>
    </row>
    <row r="768" spans="2:6" x14ac:dyDescent="0.25">
      <c r="B768" s="3"/>
      <c r="C768" s="3"/>
      <c r="D768" s="3"/>
      <c r="E768" s="3"/>
      <c r="F768" s="3"/>
    </row>
    <row r="769" spans="2:6" x14ac:dyDescent="0.25">
      <c r="B769" s="3"/>
      <c r="C769" s="3"/>
      <c r="D769" s="3"/>
      <c r="E769" s="3"/>
      <c r="F769" s="3"/>
    </row>
    <row r="770" spans="2:6" x14ac:dyDescent="0.25">
      <c r="B770" s="3"/>
      <c r="C770" s="3"/>
      <c r="D770" s="3"/>
      <c r="E770" s="3"/>
      <c r="F770" s="3"/>
    </row>
    <row r="771" spans="2:6" x14ac:dyDescent="0.25">
      <c r="B771" s="3"/>
      <c r="C771" s="3"/>
      <c r="D771" s="3"/>
      <c r="E771" s="3"/>
      <c r="F771" s="3"/>
    </row>
    <row r="772" spans="2:6" x14ac:dyDescent="0.25">
      <c r="B772" s="3"/>
      <c r="C772" s="3"/>
      <c r="D772" s="3"/>
      <c r="E772" s="3"/>
      <c r="F772" s="3"/>
    </row>
    <row r="773" spans="2:6" x14ac:dyDescent="0.25">
      <c r="B773" s="3"/>
      <c r="C773" s="3"/>
      <c r="D773" s="3"/>
      <c r="E773" s="3"/>
      <c r="F773" s="3"/>
    </row>
    <row r="774" spans="2:6" x14ac:dyDescent="0.25">
      <c r="B774" s="3"/>
      <c r="C774" s="3"/>
      <c r="D774" s="3"/>
      <c r="E774" s="3"/>
      <c r="F774" s="3"/>
    </row>
    <row r="775" spans="2:6" x14ac:dyDescent="0.25">
      <c r="B775" s="3"/>
      <c r="C775" s="3"/>
      <c r="D775" s="3"/>
      <c r="E775" s="3"/>
      <c r="F775" s="3"/>
    </row>
    <row r="776" spans="2:6" x14ac:dyDescent="0.25">
      <c r="B776" s="3"/>
      <c r="C776" s="3"/>
      <c r="D776" s="3"/>
      <c r="E776" s="3"/>
      <c r="F776" s="3"/>
    </row>
    <row r="777" spans="2:6" x14ac:dyDescent="0.25">
      <c r="B777" s="3"/>
      <c r="C777" s="3"/>
      <c r="D777" s="3"/>
      <c r="E777" s="3"/>
      <c r="F777" s="3"/>
    </row>
    <row r="778" spans="2:6" x14ac:dyDescent="0.25">
      <c r="B778" s="3"/>
      <c r="C778" s="3"/>
      <c r="D778" s="3"/>
      <c r="E778" s="3"/>
      <c r="F778" s="3"/>
    </row>
    <row r="779" spans="2:6" x14ac:dyDescent="0.25">
      <c r="B779" s="3"/>
      <c r="C779" s="3"/>
      <c r="D779" s="3"/>
      <c r="E779" s="3"/>
      <c r="F779" s="3"/>
    </row>
    <row r="780" spans="2:6" x14ac:dyDescent="0.25">
      <c r="B780" s="3"/>
      <c r="C780" s="3"/>
      <c r="D780" s="3"/>
      <c r="E780" s="3"/>
      <c r="F780" s="3"/>
    </row>
    <row r="781" spans="2:6" x14ac:dyDescent="0.25">
      <c r="B781" s="3"/>
      <c r="C781" s="3"/>
      <c r="D781" s="3"/>
      <c r="E781" s="3"/>
      <c r="F781" s="3"/>
    </row>
    <row r="782" spans="2:6" x14ac:dyDescent="0.25">
      <c r="B782" s="3"/>
      <c r="C782" s="3"/>
      <c r="D782" s="3"/>
      <c r="E782" s="3"/>
      <c r="F782" s="3"/>
    </row>
    <row r="783" spans="2:6" x14ac:dyDescent="0.25">
      <c r="B783" s="3"/>
      <c r="C783" s="3"/>
      <c r="D783" s="3"/>
      <c r="E783" s="3"/>
      <c r="F783" s="3"/>
    </row>
    <row r="784" spans="2:6" x14ac:dyDescent="0.25">
      <c r="B784" s="3"/>
      <c r="C784" s="3"/>
      <c r="D784" s="3"/>
      <c r="E784" s="3"/>
      <c r="F784" s="3"/>
    </row>
    <row r="785" spans="2:6" x14ac:dyDescent="0.25">
      <c r="B785" s="3"/>
      <c r="C785" s="3"/>
      <c r="D785" s="3"/>
      <c r="E785" s="3"/>
      <c r="F785" s="3"/>
    </row>
    <row r="786" spans="2:6" x14ac:dyDescent="0.25">
      <c r="B786" s="3"/>
      <c r="C786" s="3"/>
      <c r="D786" s="3"/>
      <c r="E786" s="3"/>
      <c r="F786" s="3"/>
    </row>
    <row r="787" spans="2:6" x14ac:dyDescent="0.25">
      <c r="B787" s="3"/>
      <c r="C787" s="3"/>
      <c r="D787" s="3"/>
      <c r="E787" s="3"/>
      <c r="F787" s="3"/>
    </row>
    <row r="788" spans="2:6" x14ac:dyDescent="0.25">
      <c r="B788" s="3"/>
      <c r="C788" s="3"/>
      <c r="D788" s="3"/>
      <c r="E788" s="3"/>
      <c r="F788" s="3"/>
    </row>
    <row r="789" spans="2:6" x14ac:dyDescent="0.25">
      <c r="B789" s="3"/>
      <c r="C789" s="3"/>
      <c r="D789" s="3"/>
      <c r="E789" s="3"/>
      <c r="F789" s="3"/>
    </row>
    <row r="790" spans="2:6" x14ac:dyDescent="0.25">
      <c r="B790" s="3"/>
      <c r="C790" s="3"/>
      <c r="D790" s="3"/>
      <c r="E790" s="3"/>
      <c r="F790" s="3"/>
    </row>
    <row r="791" spans="2:6" x14ac:dyDescent="0.25">
      <c r="B791" s="3"/>
      <c r="C791" s="3"/>
      <c r="D791" s="3"/>
      <c r="E791" s="3"/>
      <c r="F791" s="3"/>
    </row>
    <row r="792" spans="2:6" x14ac:dyDescent="0.25">
      <c r="B792" s="3"/>
      <c r="C792" s="3"/>
      <c r="D792" s="3"/>
      <c r="E792" s="3"/>
      <c r="F792" s="3"/>
    </row>
    <row r="793" spans="2:6" x14ac:dyDescent="0.25">
      <c r="B793" s="3"/>
      <c r="C793" s="3"/>
      <c r="D793" s="3"/>
      <c r="E793" s="3"/>
      <c r="F793" s="3"/>
    </row>
    <row r="794" spans="2:6" x14ac:dyDescent="0.25">
      <c r="B794" s="3"/>
      <c r="C794" s="3"/>
      <c r="D794" s="3"/>
      <c r="E794" s="3"/>
      <c r="F794" s="3"/>
    </row>
    <row r="795" spans="2:6" x14ac:dyDescent="0.25">
      <c r="B795" s="3"/>
      <c r="C795" s="3"/>
      <c r="D795" s="3"/>
      <c r="E795" s="3"/>
      <c r="F795" s="3"/>
    </row>
    <row r="796" spans="2:6" x14ac:dyDescent="0.25">
      <c r="B796" s="3"/>
      <c r="C796" s="3"/>
      <c r="D796" s="3"/>
      <c r="E796" s="3"/>
      <c r="F796" s="3"/>
    </row>
    <row r="797" spans="2:6" x14ac:dyDescent="0.25">
      <c r="B797" s="3"/>
      <c r="C797" s="3"/>
      <c r="D797" s="3"/>
      <c r="E797" s="3"/>
      <c r="F797" s="3"/>
    </row>
    <row r="798" spans="2:6" x14ac:dyDescent="0.25">
      <c r="B798" s="3"/>
      <c r="C798" s="3"/>
      <c r="D798" s="3"/>
      <c r="E798" s="3"/>
      <c r="F798" s="3"/>
    </row>
    <row r="799" spans="2:6" x14ac:dyDescent="0.25">
      <c r="B799" s="3"/>
      <c r="C799" s="3"/>
      <c r="D799" s="3"/>
      <c r="E799" s="3"/>
      <c r="F799" s="3"/>
    </row>
    <row r="800" spans="2:6" x14ac:dyDescent="0.25">
      <c r="B800" s="3"/>
      <c r="C800" s="3"/>
      <c r="D800" s="3"/>
      <c r="E800" s="3"/>
      <c r="F800" s="3"/>
    </row>
    <row r="801" spans="2:6" x14ac:dyDescent="0.25">
      <c r="B801" s="3"/>
      <c r="C801" s="3"/>
      <c r="D801" s="3"/>
      <c r="E801" s="3"/>
      <c r="F801" s="3"/>
    </row>
    <row r="802" spans="2:6" x14ac:dyDescent="0.25">
      <c r="B802" s="3"/>
      <c r="C802" s="3"/>
      <c r="D802" s="3"/>
      <c r="E802" s="3"/>
      <c r="F802" s="3"/>
    </row>
    <row r="803" spans="2:6" x14ac:dyDescent="0.25">
      <c r="B803" s="3"/>
      <c r="C803" s="3"/>
      <c r="D803" s="3"/>
      <c r="E803" s="3"/>
      <c r="F803" s="3"/>
    </row>
    <row r="804" spans="2:6" x14ac:dyDescent="0.25">
      <c r="B804" s="3"/>
      <c r="C804" s="3"/>
      <c r="D804" s="3"/>
      <c r="E804" s="3"/>
      <c r="F804" s="3"/>
    </row>
    <row r="805" spans="2:6" x14ac:dyDescent="0.25">
      <c r="B805" s="3"/>
      <c r="C805" s="3"/>
      <c r="D805" s="3"/>
      <c r="E805" s="3"/>
      <c r="F805" s="3"/>
    </row>
    <row r="806" spans="2:6" x14ac:dyDescent="0.25">
      <c r="B806" s="3"/>
      <c r="C806" s="3"/>
      <c r="D806" s="3"/>
      <c r="E806" s="3"/>
      <c r="F806" s="3"/>
    </row>
    <row r="807" spans="2:6" x14ac:dyDescent="0.25">
      <c r="B807" s="3"/>
      <c r="C807" s="3"/>
      <c r="D807" s="3"/>
      <c r="E807" s="3"/>
      <c r="F807" s="3"/>
    </row>
    <row r="808" spans="2:6" x14ac:dyDescent="0.25">
      <c r="B808" s="3"/>
      <c r="C808" s="3"/>
      <c r="D808" s="3"/>
      <c r="E808" s="3"/>
      <c r="F808" s="3"/>
    </row>
    <row r="809" spans="2:6" x14ac:dyDescent="0.25">
      <c r="B809" s="3"/>
      <c r="C809" s="3"/>
      <c r="D809" s="3"/>
      <c r="E809" s="3"/>
      <c r="F809" s="3"/>
    </row>
    <row r="810" spans="2:6" x14ac:dyDescent="0.25">
      <c r="B810" s="3"/>
      <c r="C810" s="3"/>
      <c r="D810" s="3"/>
      <c r="E810" s="3"/>
      <c r="F810" s="3"/>
    </row>
    <row r="811" spans="2:6" x14ac:dyDescent="0.25">
      <c r="B811" s="3"/>
      <c r="C811" s="3"/>
      <c r="D811" s="3"/>
      <c r="E811" s="3"/>
      <c r="F811" s="3"/>
    </row>
    <row r="812" spans="2:6" x14ac:dyDescent="0.25">
      <c r="B812" s="3"/>
      <c r="C812" s="3"/>
      <c r="D812" s="3"/>
      <c r="E812" s="3"/>
      <c r="F812" s="3"/>
    </row>
    <row r="813" spans="2:6" x14ac:dyDescent="0.25">
      <c r="B813" s="3"/>
      <c r="C813" s="3"/>
      <c r="D813" s="3"/>
      <c r="E813" s="3"/>
      <c r="F813" s="3"/>
    </row>
    <row r="814" spans="2:6" x14ac:dyDescent="0.25">
      <c r="B814" s="3"/>
      <c r="C814" s="3"/>
      <c r="D814" s="3"/>
      <c r="E814" s="3"/>
      <c r="F814" s="3"/>
    </row>
    <row r="815" spans="2:6" x14ac:dyDescent="0.25">
      <c r="B815" s="3"/>
      <c r="C815" s="3"/>
      <c r="D815" s="3"/>
      <c r="E815" s="3"/>
      <c r="F815" s="3"/>
    </row>
    <row r="816" spans="2:6" x14ac:dyDescent="0.25">
      <c r="B816" s="3"/>
      <c r="C816" s="3"/>
      <c r="D816" s="3"/>
      <c r="E816" s="3"/>
      <c r="F816" s="3"/>
    </row>
    <row r="817" spans="2:6" x14ac:dyDescent="0.25">
      <c r="B817" s="3"/>
      <c r="C817" s="3"/>
      <c r="D817" s="3"/>
      <c r="E817" s="3"/>
      <c r="F817" s="3"/>
    </row>
    <row r="818" spans="2:6" x14ac:dyDescent="0.25">
      <c r="B818" s="3"/>
      <c r="C818" s="3"/>
      <c r="D818" s="3"/>
      <c r="E818" s="3"/>
      <c r="F818" s="3"/>
    </row>
    <row r="819" spans="2:6" x14ac:dyDescent="0.25">
      <c r="B819" s="3"/>
      <c r="C819" s="3"/>
      <c r="D819" s="3"/>
      <c r="E819" s="3"/>
      <c r="F819" s="3"/>
    </row>
    <row r="820" spans="2:6" x14ac:dyDescent="0.25">
      <c r="B820" s="3"/>
      <c r="C820" s="3"/>
      <c r="D820" s="3"/>
      <c r="E820" s="3"/>
      <c r="F820" s="3"/>
    </row>
    <row r="821" spans="2:6" x14ac:dyDescent="0.25">
      <c r="B821" s="3"/>
      <c r="C821" s="3"/>
      <c r="D821" s="3"/>
      <c r="E821" s="3"/>
      <c r="F821" s="3"/>
    </row>
    <row r="822" spans="2:6" x14ac:dyDescent="0.25">
      <c r="B822" s="3"/>
      <c r="C822" s="3"/>
      <c r="D822" s="3"/>
      <c r="E822" s="3"/>
      <c r="F822" s="3"/>
    </row>
    <row r="823" spans="2:6" x14ac:dyDescent="0.25">
      <c r="B823" s="3"/>
      <c r="C823" s="3"/>
      <c r="D823" s="3"/>
      <c r="E823" s="3"/>
      <c r="F823" s="3"/>
    </row>
    <row r="824" spans="2:6" x14ac:dyDescent="0.25">
      <c r="B824" s="3"/>
      <c r="C824" s="3"/>
      <c r="D824" s="3"/>
      <c r="E824" s="3"/>
      <c r="F824" s="3"/>
    </row>
    <row r="825" spans="2:6" x14ac:dyDescent="0.25">
      <c r="B825" s="3"/>
      <c r="C825" s="3"/>
      <c r="D825" s="3"/>
      <c r="E825" s="3"/>
      <c r="F825" s="3"/>
    </row>
    <row r="826" spans="2:6" x14ac:dyDescent="0.25">
      <c r="B826" s="3"/>
      <c r="C826" s="3"/>
      <c r="D826" s="3"/>
      <c r="E826" s="3"/>
      <c r="F826" s="3"/>
    </row>
    <row r="827" spans="2:6" x14ac:dyDescent="0.25">
      <c r="B827" s="3"/>
      <c r="C827" s="3"/>
      <c r="D827" s="3"/>
      <c r="E827" s="3"/>
      <c r="F827" s="3"/>
    </row>
    <row r="828" spans="2:6" x14ac:dyDescent="0.25">
      <c r="B828" s="3"/>
      <c r="C828" s="3"/>
      <c r="D828" s="3"/>
      <c r="E828" s="3"/>
      <c r="F828" s="3"/>
    </row>
    <row r="829" spans="2:6" x14ac:dyDescent="0.25">
      <c r="B829" s="3"/>
      <c r="C829" s="3"/>
      <c r="D829" s="3"/>
      <c r="E829" s="3"/>
      <c r="F829" s="3"/>
    </row>
    <row r="830" spans="2:6" x14ac:dyDescent="0.25">
      <c r="B830" s="3"/>
      <c r="C830" s="3"/>
      <c r="D830" s="3"/>
      <c r="E830" s="3"/>
      <c r="F830" s="3"/>
    </row>
    <row r="831" spans="2:6" x14ac:dyDescent="0.25">
      <c r="B831" s="3"/>
      <c r="C831" s="3"/>
      <c r="D831" s="3"/>
      <c r="E831" s="3"/>
      <c r="F831" s="3"/>
    </row>
    <row r="832" spans="2:6" x14ac:dyDescent="0.25">
      <c r="B832" s="3"/>
      <c r="C832" s="3"/>
      <c r="D832" s="3"/>
      <c r="E832" s="3"/>
      <c r="F832" s="3"/>
    </row>
  </sheetData>
  <pageMargins left="0.7" right="0.7" top="0.75" bottom="0.75" header="0.3" footer="0.3"/>
  <pageSetup paperSize="9" orientation="portrait" r:id="rId1"/>
  <ignoredErrors>
    <ignoredError sqref="M255 K255 O25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6E1B-2ECE-44BD-8384-9A95E24BA302}">
  <dimension ref="A1:I5"/>
  <sheetViews>
    <sheetView workbookViewId="0">
      <selection activeCell="I23" sqref="I23"/>
    </sheetView>
  </sheetViews>
  <sheetFormatPr defaultRowHeight="15" x14ac:dyDescent="0.25"/>
  <cols>
    <col min="1" max="1" width="16.42578125" bestFit="1" customWidth="1"/>
    <col min="2" max="2" width="10.5703125" bestFit="1" customWidth="1"/>
    <col min="3" max="3" width="12.7109375" bestFit="1" customWidth="1"/>
    <col min="4" max="4" width="9" bestFit="1" customWidth="1"/>
    <col min="5" max="5" width="13.7109375" bestFit="1" customWidth="1"/>
    <col min="6" max="6" width="14.140625" bestFit="1" customWidth="1"/>
    <col min="7" max="7" width="10.42578125" bestFit="1" customWidth="1"/>
    <col min="9" max="9" width="32.28515625" bestFit="1" customWidth="1"/>
  </cols>
  <sheetData>
    <row r="1" spans="1:9" x14ac:dyDescent="0.25">
      <c r="A1" t="s">
        <v>55</v>
      </c>
      <c r="B1" t="s">
        <v>56</v>
      </c>
      <c r="C1" t="s">
        <v>29</v>
      </c>
      <c r="D1" t="s">
        <v>57</v>
      </c>
      <c r="E1" t="s">
        <v>58</v>
      </c>
      <c r="F1" t="s">
        <v>59</v>
      </c>
      <c r="G1" t="s">
        <v>60</v>
      </c>
      <c r="H1" t="s">
        <v>62</v>
      </c>
      <c r="I1" t="s">
        <v>61</v>
      </c>
    </row>
    <row r="2" spans="1:9" x14ac:dyDescent="0.25">
      <c r="A2" s="14">
        <v>0.95</v>
      </c>
      <c r="B2" t="s">
        <v>63</v>
      </c>
      <c r="C2">
        <v>490</v>
      </c>
      <c r="D2">
        <v>36</v>
      </c>
      <c r="E2" s="16">
        <v>0.05</v>
      </c>
      <c r="F2" s="3">
        <f>D2/C2</f>
        <v>7.3469387755102047E-2</v>
      </c>
      <c r="G2">
        <f>2*(D2*LN(F2/E2)+(C2-D2)*LN((1-F2)/(1-E2)))</f>
        <v>4.9953711075883049</v>
      </c>
      <c r="H2">
        <f>_xlfn.CHISQ.DIST.RT(G2, 1)</f>
        <v>2.5415202956036526E-2</v>
      </c>
      <c r="I2" t="str">
        <f>IF(H2&lt;0.05, "Reject expected breach rate", "Do not reject expected breach rate")</f>
        <v>Reject expected breach rate</v>
      </c>
    </row>
    <row r="3" spans="1:9" x14ac:dyDescent="0.25">
      <c r="A3" s="14">
        <v>0.95</v>
      </c>
      <c r="B3" t="s">
        <v>64</v>
      </c>
      <c r="C3">
        <v>490</v>
      </c>
      <c r="D3">
        <v>29</v>
      </c>
      <c r="E3" s="16">
        <v>0.05</v>
      </c>
      <c r="F3" s="3">
        <f t="shared" ref="F3:F5" si="0">D3/C3</f>
        <v>5.9183673469387757E-2</v>
      </c>
      <c r="G3">
        <f t="shared" ref="G3:G5" si="1">2*(D3*LN(F3/E3)+(C3-D3)*LN((1-F3)/(1-E3)))</f>
        <v>0.82375979099967012</v>
      </c>
      <c r="H3">
        <f t="shared" ref="H3:H5" si="2">_xlfn.CHISQ.DIST.RT(G3, 1)</f>
        <v>0.36408317968537446</v>
      </c>
      <c r="I3" t="str">
        <f t="shared" ref="I3:I5" si="3">IF(H3&lt;0.05, "Reject expected breach rate", "Do not reject expected breach rate")</f>
        <v>Do not reject expected breach rate</v>
      </c>
    </row>
    <row r="4" spans="1:9" x14ac:dyDescent="0.25">
      <c r="A4" s="14">
        <v>0.99</v>
      </c>
      <c r="B4" t="s">
        <v>63</v>
      </c>
      <c r="C4">
        <v>490</v>
      </c>
      <c r="D4">
        <v>9</v>
      </c>
      <c r="E4" s="16">
        <v>0.01</v>
      </c>
      <c r="F4" s="3">
        <f t="shared" si="0"/>
        <v>1.8367346938775512E-2</v>
      </c>
      <c r="G4">
        <f t="shared" si="1"/>
        <v>2.7785593900693506</v>
      </c>
      <c r="H4">
        <f t="shared" si="2"/>
        <v>9.5534065408038965E-2</v>
      </c>
      <c r="I4" t="str">
        <f t="shared" si="3"/>
        <v>Do not reject expected breach rate</v>
      </c>
    </row>
    <row r="5" spans="1:9" x14ac:dyDescent="0.25">
      <c r="A5" s="14">
        <v>0.99</v>
      </c>
      <c r="B5" t="s">
        <v>64</v>
      </c>
      <c r="C5">
        <v>490</v>
      </c>
      <c r="D5">
        <v>9</v>
      </c>
      <c r="E5" s="16">
        <v>0.01</v>
      </c>
      <c r="F5" s="3">
        <f t="shared" si="0"/>
        <v>1.8367346938775512E-2</v>
      </c>
      <c r="G5">
        <f t="shared" si="1"/>
        <v>2.7785593900693506</v>
      </c>
      <c r="H5">
        <f t="shared" si="2"/>
        <v>9.5534065408038965E-2</v>
      </c>
      <c r="I5" t="str">
        <f t="shared" si="3"/>
        <v>Do not reject expected breach rate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3FAD-6083-4ECA-8730-8C4C213A24E1}">
  <dimension ref="A1:I15"/>
  <sheetViews>
    <sheetView tabSelected="1" workbookViewId="0">
      <selection activeCell="N20" sqref="N20"/>
    </sheetView>
  </sheetViews>
  <sheetFormatPr defaultRowHeight="15" x14ac:dyDescent="0.25"/>
  <cols>
    <col min="1" max="1" width="16.42578125" bestFit="1" customWidth="1"/>
    <col min="2" max="2" width="16.140625" bestFit="1" customWidth="1"/>
    <col min="3" max="3" width="16.85546875" bestFit="1" customWidth="1"/>
    <col min="4" max="4" width="18.28515625" bestFit="1" customWidth="1"/>
    <col min="5" max="5" width="13.7109375" bestFit="1" customWidth="1"/>
    <col min="6" max="6" width="14.140625" bestFit="1" customWidth="1"/>
    <col min="7" max="8" width="12" bestFit="1" customWidth="1"/>
    <col min="9" max="9" width="12.42578125" bestFit="1" customWidth="1"/>
  </cols>
  <sheetData>
    <row r="1" spans="1:9" x14ac:dyDescent="0.25">
      <c r="A1" s="17" t="s">
        <v>38</v>
      </c>
      <c r="B1" s="17" t="s">
        <v>55</v>
      </c>
      <c r="C1" s="17" t="s">
        <v>69</v>
      </c>
      <c r="D1" s="17" t="s">
        <v>70</v>
      </c>
    </row>
    <row r="2" spans="1:9" x14ac:dyDescent="0.25">
      <c r="A2" s="18" t="s">
        <v>65</v>
      </c>
      <c r="B2" s="19">
        <v>0.95</v>
      </c>
      <c r="C2" s="23">
        <v>1.5099E-2</v>
      </c>
      <c r="D2" s="23">
        <v>1.5918000000000002E-2</v>
      </c>
    </row>
    <row r="3" spans="1:9" x14ac:dyDescent="0.25">
      <c r="A3" s="18" t="s">
        <v>66</v>
      </c>
      <c r="B3" s="19">
        <v>0.95</v>
      </c>
      <c r="C3" s="20">
        <v>15098.98</v>
      </c>
      <c r="D3" s="21">
        <v>15918.04</v>
      </c>
    </row>
    <row r="4" spans="1:9" x14ac:dyDescent="0.25">
      <c r="A4" s="18" t="s">
        <v>65</v>
      </c>
      <c r="B4" s="19">
        <v>0.99</v>
      </c>
      <c r="C4" s="23">
        <v>2.5599E-2</v>
      </c>
      <c r="D4" s="23">
        <v>2.2696000000000001E-2</v>
      </c>
    </row>
    <row r="5" spans="1:9" x14ac:dyDescent="0.25">
      <c r="A5" s="18" t="s">
        <v>66</v>
      </c>
      <c r="B5" s="19">
        <v>0.99</v>
      </c>
      <c r="C5" s="21">
        <v>25599</v>
      </c>
      <c r="D5" s="21">
        <v>22695.82</v>
      </c>
    </row>
    <row r="6" spans="1:9" x14ac:dyDescent="0.25">
      <c r="A6" s="18" t="s">
        <v>67</v>
      </c>
      <c r="B6" s="19">
        <v>0.95</v>
      </c>
      <c r="C6" s="23">
        <v>2.2072000000000001E-2</v>
      </c>
      <c r="D6" s="23">
        <v>2.0074999999999999E-2</v>
      </c>
    </row>
    <row r="7" spans="1:9" x14ac:dyDescent="0.25">
      <c r="A7" s="18" t="s">
        <v>68</v>
      </c>
      <c r="B7" s="19">
        <v>0.95</v>
      </c>
      <c r="C7" s="21">
        <v>22072.42</v>
      </c>
      <c r="D7" s="21">
        <v>20075.41</v>
      </c>
    </row>
    <row r="8" spans="1:9" x14ac:dyDescent="0.25">
      <c r="A8" s="18" t="s">
        <v>67</v>
      </c>
      <c r="B8" s="19">
        <v>0.99</v>
      </c>
      <c r="C8" s="23">
        <v>3.3597000000000002E-2</v>
      </c>
      <c r="D8" s="23">
        <v>2.6072000000000001E-2</v>
      </c>
    </row>
    <row r="9" spans="1:9" x14ac:dyDescent="0.25">
      <c r="A9" s="18" t="s">
        <v>68</v>
      </c>
      <c r="B9" s="19">
        <v>0.99</v>
      </c>
      <c r="C9" s="21">
        <v>33597.17</v>
      </c>
      <c r="D9" s="21">
        <v>26071.919999999998</v>
      </c>
    </row>
    <row r="11" spans="1:9" x14ac:dyDescent="0.25">
      <c r="A11" s="22" t="s">
        <v>55</v>
      </c>
      <c r="B11" s="22" t="s">
        <v>56</v>
      </c>
      <c r="C11" s="22" t="s">
        <v>29</v>
      </c>
      <c r="D11" s="22" t="s">
        <v>57</v>
      </c>
      <c r="E11" s="22" t="s">
        <v>58</v>
      </c>
      <c r="F11" s="22" t="s">
        <v>59</v>
      </c>
      <c r="G11" s="22" t="s">
        <v>60</v>
      </c>
      <c r="H11" s="22" t="s">
        <v>62</v>
      </c>
      <c r="I11" s="22" t="s">
        <v>61</v>
      </c>
    </row>
    <row r="12" spans="1:9" x14ac:dyDescent="0.25">
      <c r="A12" s="14">
        <v>0.95</v>
      </c>
      <c r="B12" t="s">
        <v>63</v>
      </c>
      <c r="C12">
        <v>490</v>
      </c>
      <c r="D12">
        <v>36</v>
      </c>
      <c r="E12" s="16">
        <v>0.05</v>
      </c>
      <c r="F12" s="3">
        <f>D12/C12</f>
        <v>7.3469387755102047E-2</v>
      </c>
      <c r="G12" s="24">
        <f>2*(D12*LN(F12/E12)+(C12-D12)*LN((1-F12)/(1-E12)))</f>
        <v>4.9953711075883049</v>
      </c>
      <c r="H12">
        <f>_xlfn.CHISQ.DIST.RT(G12, 1)</f>
        <v>2.5415202956036526E-2</v>
      </c>
      <c r="I12" t="str">
        <f>IF(H12&lt;0.05, "Reject", "Do not reject")</f>
        <v>Reject</v>
      </c>
    </row>
    <row r="13" spans="1:9" x14ac:dyDescent="0.25">
      <c r="A13" s="14">
        <v>0.95</v>
      </c>
      <c r="B13" t="s">
        <v>64</v>
      </c>
      <c r="C13">
        <v>490</v>
      </c>
      <c r="D13">
        <v>29</v>
      </c>
      <c r="E13" s="16">
        <v>0.05</v>
      </c>
      <c r="F13" s="3">
        <f t="shared" ref="F13:F15" si="0">D13/C13</f>
        <v>5.9183673469387757E-2</v>
      </c>
      <c r="G13" s="24">
        <f t="shared" ref="G13:G15" si="1">2*(D13*LN(F13/E13)+(C13-D13)*LN((1-F13)/(1-E13)))</f>
        <v>0.82375979099967012</v>
      </c>
      <c r="H13">
        <f t="shared" ref="H13:H15" si="2">_xlfn.CHISQ.DIST.RT(G13, 1)</f>
        <v>0.36408317968537446</v>
      </c>
      <c r="I13" t="str">
        <f t="shared" ref="I13:I15" si="3">IF(H13&lt;0.05, "Reject", "Do not reject")</f>
        <v>Do not reject</v>
      </c>
    </row>
    <row r="14" spans="1:9" x14ac:dyDescent="0.25">
      <c r="A14" s="14">
        <v>0.99</v>
      </c>
      <c r="B14" t="s">
        <v>63</v>
      </c>
      <c r="C14">
        <v>490</v>
      </c>
      <c r="D14">
        <v>9</v>
      </c>
      <c r="E14" s="16">
        <v>0.01</v>
      </c>
      <c r="F14" s="3">
        <f t="shared" si="0"/>
        <v>1.8367346938775512E-2</v>
      </c>
      <c r="G14" s="24">
        <f t="shared" si="1"/>
        <v>2.7785593900693506</v>
      </c>
      <c r="H14">
        <f t="shared" si="2"/>
        <v>9.5534065408038965E-2</v>
      </c>
      <c r="I14" t="str">
        <f t="shared" si="3"/>
        <v>Do not reject</v>
      </c>
    </row>
    <row r="15" spans="1:9" x14ac:dyDescent="0.25">
      <c r="A15" s="14">
        <v>0.99</v>
      </c>
      <c r="B15" t="s">
        <v>64</v>
      </c>
      <c r="C15">
        <v>490</v>
      </c>
      <c r="D15">
        <v>9</v>
      </c>
      <c r="E15" s="16">
        <v>0.01</v>
      </c>
      <c r="F15" s="3">
        <f t="shared" si="0"/>
        <v>1.8367346938775512E-2</v>
      </c>
      <c r="G15" s="24">
        <f t="shared" si="1"/>
        <v>2.7785593900693506</v>
      </c>
      <c r="H15">
        <f t="shared" si="2"/>
        <v>9.5534065408038965E-2</v>
      </c>
      <c r="I15" t="str">
        <f t="shared" si="3"/>
        <v>Do not reject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</vt:lpstr>
      <vt:lpstr>Historical Prices</vt:lpstr>
      <vt:lpstr>Returns</vt:lpstr>
      <vt:lpstr>Backtesting Summary</vt:lpstr>
      <vt:lpstr>Final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 V</cp:lastModifiedBy>
  <dcterms:created xsi:type="dcterms:W3CDTF">2026-10-07T14:41:02Z</dcterms:created>
  <dcterms:modified xsi:type="dcterms:W3CDTF">2026-10-16T15:44:59Z</dcterms:modified>
</cp:coreProperties>
</file>